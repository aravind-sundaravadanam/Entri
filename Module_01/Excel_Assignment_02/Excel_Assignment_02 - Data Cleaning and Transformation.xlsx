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Data Analytics\Excel\Assignment\"/>
    </mc:Choice>
  </mc:AlternateContent>
  <xr:revisionPtr revIDLastSave="0" documentId="13_ncr:1_{87AA6A3E-30D3-40E7-9D4E-49CC3F792E6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1" r:id="rId1"/>
    <sheet name="Dataset" sheetId="2" r:id="rId2"/>
  </sheets>
  <definedNames>
    <definedName name="ExternalData_1" localSheetId="1" hidden="1">Dataset!#REF!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7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2" i="2"/>
  <c r="G23" i="2"/>
  <c r="G24" i="2"/>
  <c r="G25" i="2"/>
  <c r="G27" i="2"/>
  <c r="G28" i="2"/>
  <c r="G29" i="2"/>
  <c r="G30" i="2"/>
  <c r="G31" i="2"/>
  <c r="G32" i="2"/>
  <c r="G2" i="2"/>
  <c r="G21" i="2"/>
  <c r="G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D75424-BD79-4D3F-995B-C66979BCEFD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E7867F6-939D-45D7-BCED-3D080B944FD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<sst xmlns="http://schemas.openxmlformats.org/spreadsheetml/2006/main" count="191" uniqueCount="155">
  <si>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</si>
  <si>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</si>
  <si>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</si>
  <si>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</si>
  <si>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</si>
  <si>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</si>
  <si>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</si>
  <si>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</si>
  <si>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</si>
  <si>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</si>
  <si>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</si>
  <si>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</si>
  <si>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</si>
  <si>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</si>
  <si>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</si>
  <si>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</si>
  <si>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</si>
  <si>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</si>
  <si>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</si>
  <si>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</si>
  <si>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</si>
  <si>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</si>
  <si>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</si>
  <si>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</si>
  <si>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</si>
  <si>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</si>
  <si>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</si>
  <si>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</si>
  <si>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</si>
  <si>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</si>
  <si>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</si>
  <si>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</si>
  <si>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</si>
  <si>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</si>
  <si>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</si>
  <si>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</si>
  <si>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</si>
  <si>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</si>
  <si>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</si>
  <si>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</si>
  <si>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</si>
  <si>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</si>
  <si>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</si>
  <si>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</si>
  <si>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</si>
  <si>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</si>
  <si>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</si>
  <si>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</si>
  <si>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</si>
  <si>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</si>
  <si>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</si>
  <si>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</si>
  <si>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</si>
  <si>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</si>
  <si>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</si>
  <si>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</si>
  <si>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</si>
  <si>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</si>
  <si>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</si>
  <si>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</si>
  <si>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</si>
  <si>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</si>
  <si>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</si>
  <si>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</si>
  <si>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</si>
  <si>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</si>
  <si>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</si>
  <si>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</si>
  <si>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</si>
  <si>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</si>
  <si>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</si>
  <si>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</si>
  <si>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</si>
  <si>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</si>
  <si>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</si>
  <si>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</si>
  <si>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</si>
  <si>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</si>
  <si>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</si>
  <si>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</si>
  <si>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</si>
  <si>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</si>
  <si>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</si>
  <si>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</si>
  <si>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</si>
  <si>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</si>
  <si>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</si>
  <si>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</si>
  <si>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</si>
  <si>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</si>
  <si>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</si>
  <si>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</si>
  <si>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</si>
  <si>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</si>
  <si>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</si>
  <si>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</si>
  <si>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</si>
  <si>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</si>
  <si>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</si>
  <si>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</si>
  <si>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</si>
  <si>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</si>
  <si>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</si>
  <si>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</si>
  <si>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</si>
  <si>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</si>
  <si>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</si>
  <si>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</si>
  <si>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</si>
  <si>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</si>
  <si>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</si>
  <si>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</si>
  <si>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</si>
  <si>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 ($)</t>
  </si>
  <si>
    <t>Answer</t>
  </si>
  <si>
    <t>Check for missing values in the 'Price' column. How would you handle products with missing price information?</t>
  </si>
  <si>
    <r>
      <t xml:space="preserve">We can use </t>
    </r>
    <r>
      <rPr>
        <b/>
        <sz val="10"/>
        <color rgb="FF000000"/>
        <rFont val="Arial"/>
        <family val="2"/>
        <scheme val="minor"/>
      </rPr>
      <t>ISBLANK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AVERAGE</t>
    </r>
    <r>
      <rPr>
        <sz val="10"/>
        <color rgb="FF000000"/>
        <rFont val="Arial"/>
        <family val="2"/>
        <scheme val="minor"/>
      </rPr>
      <t xml:space="preserve"> Function in  </t>
    </r>
    <r>
      <rPr>
        <b/>
        <sz val="10"/>
        <color rgb="FF000000"/>
        <rFont val="Arial"/>
        <family val="2"/>
        <scheme val="minor"/>
      </rPr>
      <t>IF</t>
    </r>
    <r>
      <rPr>
        <sz val="10"/>
        <color rgb="FF000000"/>
        <rFont val="Arial"/>
        <family val="2"/>
        <scheme val="minor"/>
      </rPr>
      <t xml:space="preserve"> Condition (</t>
    </r>
    <r>
      <rPr>
        <b/>
        <sz val="10"/>
        <color rgb="FF000000"/>
        <rFont val="Arial"/>
        <family val="2"/>
        <scheme val="minor"/>
      </rPr>
      <t>Check Column G</t>
    </r>
    <r>
      <rPr>
        <sz val="10"/>
        <color rgb="FF000000"/>
        <rFont val="Arial"/>
        <family val="2"/>
        <scheme val="minor"/>
      </rPr>
      <t>)</t>
    </r>
  </si>
  <si>
    <t>If there are products with missing categories, propose a strategy to impute or deal with these missing values effectively.</t>
  </si>
  <si>
    <t>Instruction / Question</t>
  </si>
  <si>
    <r>
      <t xml:space="preserve">We can use </t>
    </r>
    <r>
      <rPr>
        <b/>
        <sz val="10"/>
        <color rgb="FF000000"/>
        <rFont val="Arial"/>
        <family val="2"/>
        <scheme val="minor"/>
      </rPr>
      <t xml:space="preserve">Power query </t>
    </r>
    <r>
      <rPr>
        <sz val="10"/>
        <color rgb="FF000000"/>
        <rFont val="Arial"/>
        <family val="2"/>
        <scheme val="minor"/>
      </rPr>
      <t xml:space="preserve">To Impute or deal with these Missing values Effectively. Here I Used </t>
    </r>
    <r>
      <rPr>
        <b/>
        <sz val="10"/>
        <color rgb="FF000000"/>
        <rFont val="Arial"/>
        <family val="2"/>
        <scheme val="minor"/>
      </rPr>
      <t>Group by</t>
    </r>
    <r>
      <rPr>
        <sz val="10"/>
        <color rgb="FF000000"/>
        <rFont val="Arial"/>
        <family val="2"/>
        <scheme val="minor"/>
      </rPr>
      <t xml:space="preserve"> fuction to find </t>
    </r>
    <r>
      <rPr>
        <b/>
        <sz val="10"/>
        <color rgb="FF000000"/>
        <rFont val="Arial"/>
        <family val="2"/>
        <scheme val="minor"/>
      </rPr>
      <t>mode</t>
    </r>
    <r>
      <rPr>
        <sz val="10"/>
        <color rgb="FF000000"/>
        <rFont val="Arial"/>
        <family val="2"/>
        <scheme val="minor"/>
      </rPr>
      <t xml:space="preserve"> value to impute.</t>
    </r>
  </si>
  <si>
    <t>Identify any inconsistent text formats present in the "Product Name" column.</t>
  </si>
  <si>
    <t>Identify any typos present in the "Category" column.</t>
  </si>
  <si>
    <t>Used Method</t>
  </si>
  <si>
    <t>Group By (Power query)</t>
  </si>
  <si>
    <t>Use the find and replace function to standardize the text formats in the "Product Name" column and fix any typos or misspellings in the "Category" column.</t>
  </si>
  <si>
    <r>
      <t xml:space="preserve">Found and Highlighted in </t>
    </r>
    <r>
      <rPr>
        <b/>
        <sz val="10"/>
        <color rgb="FF000000"/>
        <rFont val="Arial"/>
        <family val="2"/>
        <scheme val="minor"/>
      </rPr>
      <t>B</t>
    </r>
    <r>
      <rPr>
        <sz val="10"/>
        <color rgb="FF000000"/>
        <rFont val="Arial"/>
        <family val="2"/>
        <scheme val="minor"/>
      </rPr>
      <t xml:space="preserve"> column</t>
    </r>
  </si>
  <si>
    <r>
      <t>Found and Highlighted in</t>
    </r>
    <r>
      <rPr>
        <b/>
        <sz val="10"/>
        <color rgb="FF000000"/>
        <rFont val="Arial"/>
        <family val="2"/>
        <scheme val="minor"/>
      </rPr>
      <t xml:space="preserve"> F</t>
    </r>
    <r>
      <rPr>
        <sz val="10"/>
        <color rgb="FF000000"/>
        <rFont val="Arial"/>
        <family val="2"/>
        <scheme val="minor"/>
      </rPr>
      <t xml:space="preserve"> column</t>
    </r>
  </si>
  <si>
    <t>Find and replace</t>
  </si>
  <si>
    <t>Remove Duplicates</t>
  </si>
  <si>
    <t>Split the "Product ID" column into two separate columns for " Manufacturing Date" and "Country Code". Remove unnecessary characters, if any.</t>
  </si>
  <si>
    <t>Manufacturing Date</t>
  </si>
  <si>
    <t>Country Code</t>
  </si>
  <si>
    <t xml:space="preserve">LEFT and RIGHT </t>
  </si>
  <si>
    <t>Producr Brand</t>
  </si>
  <si>
    <t>Merge the "Brand Name" and "Product Name" columns into one column named "Product Brand".</t>
  </si>
  <si>
    <t>CONCATENATE</t>
  </si>
  <si>
    <r>
      <t xml:space="preserve">Used </t>
    </r>
    <r>
      <rPr>
        <b/>
        <sz val="10"/>
        <color rgb="FF000000"/>
        <rFont val="Arial"/>
        <family val="2"/>
        <scheme val="minor"/>
      </rPr>
      <t>CONCATENATE</t>
    </r>
    <r>
      <rPr>
        <sz val="10"/>
        <color rgb="FF000000"/>
        <rFont val="Arial"/>
        <family val="2"/>
        <scheme val="minor"/>
      </rPr>
      <t xml:space="preserve"> Function</t>
    </r>
  </si>
  <si>
    <t>Format the data type of the "Price" column to currency format</t>
  </si>
  <si>
    <r>
      <t xml:space="preserve">Changed Data type to </t>
    </r>
    <r>
      <rPr>
        <b/>
        <sz val="10"/>
        <color rgb="FF000000"/>
        <rFont val="Arial"/>
        <family val="2"/>
        <scheme val="minor"/>
      </rPr>
      <t>Currency</t>
    </r>
  </si>
  <si>
    <t>Date</t>
  </si>
  <si>
    <t xml:space="preserve">Format the "Manufacturing Date" column to display dates in the "DD-MM-YYYY " format. </t>
  </si>
  <si>
    <r>
      <t xml:space="preserve">Check Column </t>
    </r>
    <r>
      <rPr>
        <b/>
        <sz val="10"/>
        <color rgb="FF000000"/>
        <rFont val="Arial"/>
        <family val="2"/>
        <scheme val="minor"/>
      </rPr>
      <t>K</t>
    </r>
  </si>
  <si>
    <t>Apply data bar or color scales conditional formatting in the "Price" column.</t>
  </si>
  <si>
    <t>Color Scales</t>
  </si>
  <si>
    <t>Create a custom rule for conditional formatting in the "Category" column to highlight cells where the category is "Electronics."</t>
  </si>
  <si>
    <t>Highlites Cells Rules - Cells That contains - Electronics</t>
  </si>
  <si>
    <r>
      <t xml:space="preserve">Check Column </t>
    </r>
    <r>
      <rPr>
        <b/>
        <sz val="10"/>
        <color rgb="FF000000"/>
        <rFont val="Arial"/>
        <family val="2"/>
        <scheme val="minor"/>
      </rPr>
      <t>D</t>
    </r>
  </si>
  <si>
    <r>
      <t xml:space="preserve">Check Column </t>
    </r>
    <r>
      <rPr>
        <b/>
        <sz val="10"/>
        <color rgb="FF000000"/>
        <rFont val="Arial"/>
        <family val="2"/>
        <scheme val="minor"/>
      </rPr>
      <t>F</t>
    </r>
  </si>
  <si>
    <t>Identify any duplicate rows within the dataset based on the entirety of each row, and remove them if any.</t>
  </si>
  <si>
    <t>Q.No</t>
  </si>
  <si>
    <t>IF,ISBLANK,AVERAGE</t>
  </si>
  <si>
    <r>
      <rPr>
        <sz val="10"/>
        <color rgb="FF000000"/>
        <rFont val="Arial"/>
        <family val="2"/>
        <scheme val="minor"/>
      </rPr>
      <t>Check Column</t>
    </r>
    <r>
      <rPr>
        <b/>
        <sz val="10"/>
        <color rgb="FF000000"/>
        <rFont val="Arial"/>
        <family val="2"/>
        <scheme val="minor"/>
      </rPr>
      <t xml:space="preserve"> H </t>
    </r>
    <r>
      <rPr>
        <sz val="10"/>
        <color rgb="FF000000"/>
        <rFont val="Arial"/>
        <family val="2"/>
        <scheme val="minor"/>
      </rPr>
      <t>and</t>
    </r>
    <r>
      <rPr>
        <b/>
        <sz val="10"/>
        <color rgb="FF000000"/>
        <rFont val="Arial"/>
        <family val="2"/>
        <scheme val="minor"/>
      </rPr>
      <t xml:space="preserve"> I</t>
    </r>
  </si>
  <si>
    <r>
      <t xml:space="preserve">Used </t>
    </r>
    <r>
      <rPr>
        <b/>
        <sz val="10"/>
        <color rgb="FF000000"/>
        <rFont val="Arial"/>
        <family val="2"/>
        <scheme val="minor"/>
      </rPr>
      <t>Find and replace</t>
    </r>
    <r>
      <rPr>
        <sz val="10"/>
        <color rgb="FF000000"/>
        <rFont val="Arial"/>
        <family val="2"/>
        <scheme val="minor"/>
      </rPr>
      <t xml:space="preserve"> function to Standardize and Fix the Typos both </t>
    </r>
    <r>
      <rPr>
        <b/>
        <sz val="10"/>
        <color rgb="FF000000"/>
        <rFont val="Arial"/>
        <family val="2"/>
        <scheme val="minor"/>
      </rPr>
      <t>B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F</t>
    </r>
    <r>
      <rPr>
        <sz val="10"/>
        <color rgb="FF000000"/>
        <rFont val="Arial"/>
        <family val="2"/>
        <scheme val="minor"/>
      </rPr>
      <t xml:space="preserve"> Column.</t>
    </r>
  </si>
  <si>
    <r>
      <t xml:space="preserve">Used </t>
    </r>
    <r>
      <rPr>
        <b/>
        <sz val="10"/>
        <color rgb="FF000000"/>
        <rFont val="Arial"/>
        <family val="2"/>
        <scheme val="minor"/>
      </rPr>
      <t>Remove Duplicates</t>
    </r>
    <r>
      <rPr>
        <sz val="10"/>
        <color rgb="FF000000"/>
        <rFont val="Arial"/>
        <family val="2"/>
        <scheme val="minor"/>
      </rPr>
      <t xml:space="preserve"> data tool in Product ID column to remove non-unique value.</t>
    </r>
  </si>
  <si>
    <t>DATEVALUE &amp;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</si>
</sst>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rgb="FF4DD0E1"/>
      </patternFill>
    </fill>
    <fill>
      <patternFill patternType="solid">
        <fgColor theme="7" tint="0.79998168889431442"/>
        <bgColor rgb="FFE0F7FA"/>
      </patternFill>
    </fill>
    <fill>
      <patternFill patternType="solid">
        <fgColor rgb="FFFFFF00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1" fontId="5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/>
    <xf numFmtId="0" fontId="5" fillId="7" borderId="0" xfId="0" applyFont="1" applyFill="1"/>
    <xf numFmtId="0" fontId="12" fillId="7" borderId="0" xfId="0" applyFont="1" applyFill="1"/>
    <xf numFmtId="0" fontId="9" fillId="0" borderId="0" xfId="0" applyFont="1" applyAlignment="1">
      <alignment horizontal="center"/>
    </xf>
    <xf numFmtId="0" fontId="12" fillId="0" borderId="0" xfId="0" applyFont="1"/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5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11" fillId="4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family val="2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0E6DB-B1F5-4227-B91E-62464313A8E2}" name="Table1" displayName="Table1" ref="A1:F32" totalsRowShown="0" headerRowDxfId="13" dataDxfId="12">
  <autoFilter ref="A1:F32" xr:uid="{CEF0E6DB-B1F5-4227-B91E-62464313A8E2}"/>
  <tableColumns count="6">
    <tableColumn id="1" xr3:uid="{19F54074-5A91-40FF-A16C-2C295AE0DE23}" name="Product ID" dataDxfId="11"/>
    <tableColumn id="2" xr3:uid="{BC1793EE-55D5-4269-B68D-3F71CF0DAA73}" name="Product Name" dataDxfId="10"/>
    <tableColumn id="3" xr3:uid="{89D2B881-499F-4E4E-8D7A-3CE932E6BB45}" name="Brand Name" dataDxfId="9"/>
    <tableColumn id="4" xr3:uid="{ACBDAA94-88CA-49FE-AEA8-675522D61A71}" name="Price ($)" dataDxfId="8"/>
    <tableColumn id="5" xr3:uid="{BEFDED86-795E-468A-A3AB-D3BCB0A52053}" name="Quantity" dataDxfId="7"/>
    <tableColumn id="6" xr3:uid="{98B93CCB-FEEE-45EF-9751-532EF21F39FB}" name="Category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22544-3609-430B-8722-C26619537C3D}" name="Table2" displayName="Table2" ref="M34:P46" totalsRowShown="0" headerRowDxfId="5">
  <autoFilter ref="M34:P46" xr:uid="{D7022544-3609-430B-8722-C26619537C3D}"/>
  <tableColumns count="4">
    <tableColumn id="1" xr3:uid="{E3ED8B8F-AE00-4A33-9CE8-D4DDA164AB97}" name="Q.No" dataDxfId="4"/>
    <tableColumn id="2" xr3:uid="{CC1FF240-810C-4EFD-958A-BA0C6F406BB3}" name="Instruction / Question" dataDxfId="3"/>
    <tableColumn id="3" xr3:uid="{3D637F69-5732-49F1-A264-8D8B0E5B866B}" name="Used Method" dataDxfId="2"/>
    <tableColumn id="4" xr3:uid="{42119047-B1D1-4CDD-A8C7-30CF21915417}" name="Answer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5" sqref="C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12" t="s">
        <v>2</v>
      </c>
    </row>
    <row r="5" spans="1:11" ht="15.75" customHeight="1" x14ac:dyDescent="0.25">
      <c r="B5" s="4"/>
      <c r="C5" s="12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12" t="s">
        <v>6</v>
      </c>
    </row>
    <row r="10" spans="1:11" ht="15.75" customHeight="1" x14ac:dyDescent="0.25">
      <c r="C10" s="12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12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12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12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12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12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7"/>
  <sheetViews>
    <sheetView tabSelected="1" topLeftCell="E1" workbookViewId="0">
      <selection activeCell="L2" sqref="L2"/>
    </sheetView>
  </sheetViews>
  <sheetFormatPr defaultColWidth="12.5703125" defaultRowHeight="15" customHeight="1" x14ac:dyDescent="0.2"/>
  <cols>
    <col min="1" max="1" width="19.7109375" customWidth="1"/>
    <col min="2" max="2" width="18.5703125" bestFit="1" customWidth="1"/>
    <col min="3" max="3" width="17.5703125" customWidth="1"/>
    <col min="4" max="4" width="12.5703125" customWidth="1"/>
    <col min="5" max="5" width="12.5703125" style="19" customWidth="1"/>
    <col min="6" max="6" width="13.7109375" bestFit="1" customWidth="1"/>
    <col min="7" max="7" width="15.85546875" style="19" bestFit="1" customWidth="1"/>
    <col min="8" max="8" width="19" style="32" bestFit="1" customWidth="1"/>
    <col min="9" max="9" width="15.85546875" style="19" customWidth="1"/>
    <col min="10" max="10" width="21.7109375" style="19" bestFit="1" customWidth="1"/>
    <col min="11" max="11" width="17.28515625" style="19" bestFit="1" customWidth="1"/>
    <col min="12" max="12" width="10.140625" style="19" bestFit="1" customWidth="1"/>
    <col min="13" max="13" width="3.28515625" style="19" customWidth="1"/>
    <col min="14" max="14" width="57.140625" style="19" customWidth="1"/>
    <col min="15" max="15" width="22.28515625" style="19" customWidth="1"/>
    <col min="16" max="16" width="37.85546875" style="19" customWidth="1"/>
    <col min="17" max="17" width="123" style="19" bestFit="1" customWidth="1"/>
    <col min="18" max="18" width="16.85546875" style="19" bestFit="1" customWidth="1"/>
    <col min="19" max="19" width="10.7109375" bestFit="1" customWidth="1"/>
    <col min="20" max="20" width="10.85546875" bestFit="1" customWidth="1"/>
    <col min="21" max="21" width="11.42578125" bestFit="1" customWidth="1"/>
    <col min="23" max="23" width="133" bestFit="1" customWidth="1"/>
    <col min="24" max="24" width="21.7109375" bestFit="1" customWidth="1"/>
    <col min="25" max="25" width="61.5703125" customWidth="1"/>
  </cols>
  <sheetData>
    <row r="1" spans="1:18" ht="12.75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1" t="s">
        <v>113</v>
      </c>
      <c r="H1" s="33" t="s">
        <v>130</v>
      </c>
      <c r="I1" s="15" t="s">
        <v>131</v>
      </c>
      <c r="J1" s="15" t="s">
        <v>133</v>
      </c>
      <c r="K1" s="15" t="s">
        <v>139</v>
      </c>
      <c r="L1"/>
      <c r="M1"/>
      <c r="N1"/>
      <c r="O1"/>
      <c r="P1"/>
      <c r="Q1"/>
      <c r="R1"/>
    </row>
    <row r="2" spans="1:18" ht="12.75" x14ac:dyDescent="0.2">
      <c r="A2" s="5" t="s">
        <v>25</v>
      </c>
      <c r="B2" s="5" t="s">
        <v>26</v>
      </c>
      <c r="C2" s="5" t="s">
        <v>27</v>
      </c>
      <c r="D2" s="25">
        <v>1000</v>
      </c>
      <c r="E2" s="9">
        <v>30</v>
      </c>
      <c r="F2" s="5" t="s">
        <v>28</v>
      </c>
      <c r="G2" s="9">
        <f t="shared" ref="G2:G32" si="0">IF(ISBLANK(D2),AVERAGE($D$2:$D$32),D2)</f>
        <v>1000</v>
      </c>
      <c r="H2" s="30" t="str">
        <f>LEFT(A2,6)</f>
        <v>28-JAN</v>
      </c>
      <c r="I2" s="9" t="str">
        <f>RIGHT(A2,2)</f>
        <v>US</v>
      </c>
      <c r="J2" s="9" t="str">
        <f>CONCATENATE(C2," ",B2)</f>
        <v>Dell laptop</v>
      </c>
      <c r="K2" s="9" t="str">
        <f>IF(DATEVALUE(H2),TEXT(H2,"DD-MM-YYYY"))</f>
        <v>28-01-2025</v>
      </c>
      <c r="L2"/>
      <c r="M2"/>
      <c r="N2"/>
      <c r="O2"/>
      <c r="P2"/>
      <c r="Q2"/>
      <c r="R2"/>
    </row>
    <row r="3" spans="1:18" ht="12.75" x14ac:dyDescent="0.2">
      <c r="A3" s="8" t="s">
        <v>29</v>
      </c>
      <c r="B3" s="8" t="s">
        <v>30</v>
      </c>
      <c r="C3" s="8" t="s">
        <v>31</v>
      </c>
      <c r="D3" s="26">
        <v>80</v>
      </c>
      <c r="E3" s="10">
        <v>15</v>
      </c>
      <c r="F3" s="8" t="s">
        <v>32</v>
      </c>
      <c r="G3" s="16">
        <f t="shared" si="0"/>
        <v>80</v>
      </c>
      <c r="H3" s="31" t="str">
        <f t="shared" ref="H3:H32" si="1">LEFT(A3,6)</f>
        <v>15-FEB</v>
      </c>
      <c r="I3" s="16" t="str">
        <f t="shared" ref="I3:I32" si="2">RIGHT(A3,2)</f>
        <v>US</v>
      </c>
      <c r="J3" s="16" t="str">
        <f t="shared" ref="J3:J32" si="3">CONCATENATE(C3," ",B3)</f>
        <v>Nike Sneakers</v>
      </c>
      <c r="K3" s="16" t="str">
        <f>IF(DATEVALUE(H3),TEXT(H3,"DD-MM-YYYY"))</f>
        <v>15-02-2025</v>
      </c>
      <c r="L3"/>
      <c r="M3"/>
      <c r="N3"/>
      <c r="O3"/>
      <c r="P3"/>
      <c r="Q3"/>
      <c r="R3"/>
    </row>
    <row r="4" spans="1:18" ht="12.75" x14ac:dyDescent="0.2">
      <c r="A4" s="5" t="s">
        <v>33</v>
      </c>
      <c r="B4" s="5" t="s">
        <v>34</v>
      </c>
      <c r="C4" s="5" t="s">
        <v>35</v>
      </c>
      <c r="D4" s="25">
        <v>130</v>
      </c>
      <c r="E4" s="9">
        <v>40</v>
      </c>
      <c r="F4" s="5" t="s">
        <v>36</v>
      </c>
      <c r="G4" s="9">
        <f t="shared" si="0"/>
        <v>130</v>
      </c>
      <c r="H4" s="30" t="str">
        <f t="shared" si="1"/>
        <v>03-MAR</v>
      </c>
      <c r="I4" s="9" t="str">
        <f t="shared" si="2"/>
        <v>US</v>
      </c>
      <c r="J4" s="9" t="str">
        <f t="shared" si="3"/>
        <v>Keurig Coffee Maker</v>
      </c>
      <c r="K4" s="9" t="str">
        <f t="shared" ref="K4:K32" si="4">IF(DATEVALUE(H4),TEXT(H4,"DD-MM-YYYY"))</f>
        <v>03-03-2025</v>
      </c>
      <c r="L4"/>
      <c r="M4"/>
      <c r="N4"/>
      <c r="O4"/>
      <c r="P4"/>
      <c r="Q4"/>
      <c r="R4"/>
    </row>
    <row r="5" spans="1:18" ht="12.75" x14ac:dyDescent="0.2">
      <c r="A5" s="8" t="s">
        <v>37</v>
      </c>
      <c r="B5" s="20" t="s">
        <v>93</v>
      </c>
      <c r="C5" s="8" t="s">
        <v>38</v>
      </c>
      <c r="D5" s="26">
        <v>900</v>
      </c>
      <c r="E5" s="10">
        <v>25</v>
      </c>
      <c r="F5" s="8" t="s">
        <v>28</v>
      </c>
      <c r="G5" s="16">
        <f t="shared" si="0"/>
        <v>900</v>
      </c>
      <c r="H5" s="31" t="str">
        <f t="shared" si="1"/>
        <v>11-APR</v>
      </c>
      <c r="I5" s="16" t="str">
        <f t="shared" si="2"/>
        <v>US</v>
      </c>
      <c r="J5" s="16" t="str">
        <f t="shared" si="3"/>
        <v>Samsung Smartphone</v>
      </c>
      <c r="K5" s="16" t="str">
        <f t="shared" si="4"/>
        <v>11-04-2025</v>
      </c>
      <c r="L5"/>
      <c r="M5"/>
      <c r="N5"/>
      <c r="O5"/>
      <c r="P5"/>
      <c r="Q5"/>
      <c r="R5"/>
    </row>
    <row r="6" spans="1:18" ht="12.75" x14ac:dyDescent="0.2">
      <c r="A6" s="5" t="s">
        <v>39</v>
      </c>
      <c r="B6" s="5" t="s">
        <v>40</v>
      </c>
      <c r="C6" s="5" t="s">
        <v>41</v>
      </c>
      <c r="D6" s="25">
        <v>70</v>
      </c>
      <c r="E6" s="9">
        <v>20</v>
      </c>
      <c r="F6" s="5" t="s">
        <v>28</v>
      </c>
      <c r="G6" s="9">
        <f t="shared" si="0"/>
        <v>70</v>
      </c>
      <c r="H6" s="30" t="str">
        <f t="shared" si="1"/>
        <v>22-MAY</v>
      </c>
      <c r="I6" s="9" t="str">
        <f t="shared" si="2"/>
        <v>US</v>
      </c>
      <c r="J6" s="9" t="str">
        <f t="shared" si="3"/>
        <v>North Face Backpack</v>
      </c>
      <c r="K6" s="9" t="str">
        <f t="shared" si="4"/>
        <v>22-05-2025</v>
      </c>
      <c r="L6"/>
      <c r="M6"/>
      <c r="N6"/>
      <c r="O6"/>
      <c r="P6"/>
      <c r="Q6"/>
      <c r="R6"/>
    </row>
    <row r="7" spans="1:18" ht="12.75" x14ac:dyDescent="0.2">
      <c r="A7" s="8" t="s">
        <v>42</v>
      </c>
      <c r="B7" s="8" t="s">
        <v>43</v>
      </c>
      <c r="C7" s="8" t="s">
        <v>44</v>
      </c>
      <c r="D7" s="27">
        <v>298</v>
      </c>
      <c r="E7" s="10">
        <v>45</v>
      </c>
      <c r="F7" s="20" t="s">
        <v>28</v>
      </c>
      <c r="G7" s="17">
        <f t="shared" si="0"/>
        <v>298</v>
      </c>
      <c r="H7" s="31" t="str">
        <f t="shared" si="1"/>
        <v>07-JUN</v>
      </c>
      <c r="I7" s="16" t="str">
        <f t="shared" si="2"/>
        <v>UK</v>
      </c>
      <c r="J7" s="16" t="str">
        <f t="shared" si="3"/>
        <v>Sony Headphones</v>
      </c>
      <c r="K7" s="16" t="str">
        <f t="shared" si="4"/>
        <v>07-06-2025</v>
      </c>
      <c r="L7"/>
      <c r="M7"/>
      <c r="N7"/>
      <c r="O7"/>
      <c r="P7"/>
      <c r="Q7"/>
      <c r="R7"/>
    </row>
    <row r="8" spans="1:18" ht="12.75" x14ac:dyDescent="0.2">
      <c r="A8" s="5" t="s">
        <v>45</v>
      </c>
      <c r="B8" s="5" t="s">
        <v>46</v>
      </c>
      <c r="C8" s="5" t="s">
        <v>47</v>
      </c>
      <c r="D8" s="25">
        <v>30</v>
      </c>
      <c r="E8" s="9">
        <v>5</v>
      </c>
      <c r="F8" s="5" t="s">
        <v>32</v>
      </c>
      <c r="G8" s="9">
        <f t="shared" si="0"/>
        <v>30</v>
      </c>
      <c r="H8" s="30" t="str">
        <f t="shared" si="1"/>
        <v>19-JUL</v>
      </c>
      <c r="I8" s="9" t="str">
        <f t="shared" si="2"/>
        <v>UK</v>
      </c>
      <c r="J8" s="9" t="str">
        <f t="shared" si="3"/>
        <v>Adidas T-shirt</v>
      </c>
      <c r="K8" s="9" t="str">
        <f t="shared" si="4"/>
        <v>19-07-2025</v>
      </c>
      <c r="L8"/>
      <c r="M8"/>
      <c r="N8"/>
      <c r="O8"/>
      <c r="P8"/>
      <c r="Q8"/>
      <c r="R8"/>
    </row>
    <row r="9" spans="1:18" ht="12.75" x14ac:dyDescent="0.2">
      <c r="A9" s="8" t="s">
        <v>48</v>
      </c>
      <c r="B9" s="8" t="s">
        <v>49</v>
      </c>
      <c r="C9" s="8" t="s">
        <v>50</v>
      </c>
      <c r="D9" s="26">
        <v>90</v>
      </c>
      <c r="E9" s="10">
        <v>35</v>
      </c>
      <c r="F9" s="8" t="s">
        <v>36</v>
      </c>
      <c r="G9" s="16">
        <f t="shared" si="0"/>
        <v>90</v>
      </c>
      <c r="H9" s="31" t="str">
        <f t="shared" si="1"/>
        <v>23-AUG</v>
      </c>
      <c r="I9" s="16" t="str">
        <f t="shared" si="2"/>
        <v>UK</v>
      </c>
      <c r="J9" s="16" t="str">
        <f t="shared" si="3"/>
        <v>Ninja Blender</v>
      </c>
      <c r="K9" s="16" t="str">
        <f t="shared" si="4"/>
        <v>23-08-2025</v>
      </c>
      <c r="L9"/>
      <c r="M9"/>
      <c r="N9"/>
      <c r="O9"/>
      <c r="P9"/>
      <c r="Q9"/>
      <c r="R9"/>
    </row>
    <row r="10" spans="1:18" ht="12.75" x14ac:dyDescent="0.2">
      <c r="A10" s="5" t="s">
        <v>51</v>
      </c>
      <c r="B10" s="5" t="s">
        <v>52</v>
      </c>
      <c r="C10" s="5" t="s">
        <v>53</v>
      </c>
      <c r="D10" s="25">
        <v>500</v>
      </c>
      <c r="E10" s="9">
        <v>50</v>
      </c>
      <c r="F10" s="5" t="s">
        <v>28</v>
      </c>
      <c r="G10" s="9">
        <f t="shared" si="0"/>
        <v>500</v>
      </c>
      <c r="H10" s="30" t="str">
        <f t="shared" si="1"/>
        <v>05-SEP</v>
      </c>
      <c r="I10" s="9" t="str">
        <f t="shared" si="2"/>
        <v>UK</v>
      </c>
      <c r="J10" s="9" t="str">
        <f t="shared" si="3"/>
        <v>Apple Tablet</v>
      </c>
      <c r="K10" s="9" t="str">
        <f t="shared" si="4"/>
        <v>05-09-2025</v>
      </c>
      <c r="R10"/>
    </row>
    <row r="11" spans="1:18" ht="12.75" x14ac:dyDescent="0.2">
      <c r="A11" s="8" t="s">
        <v>54</v>
      </c>
      <c r="B11" s="8" t="s">
        <v>55</v>
      </c>
      <c r="C11" s="8" t="s">
        <v>56</v>
      </c>
      <c r="D11" s="26">
        <v>130</v>
      </c>
      <c r="E11" s="10">
        <v>10</v>
      </c>
      <c r="F11" s="8" t="s">
        <v>57</v>
      </c>
      <c r="G11" s="16">
        <f t="shared" si="0"/>
        <v>130</v>
      </c>
      <c r="H11" s="31" t="str">
        <f t="shared" si="1"/>
        <v>14-OCT</v>
      </c>
      <c r="I11" s="16" t="str">
        <f t="shared" si="2"/>
        <v>UK</v>
      </c>
      <c r="J11" s="16" t="str">
        <f t="shared" si="3"/>
        <v>Timberland Hiking Boots</v>
      </c>
      <c r="K11" s="16" t="str">
        <f t="shared" si="4"/>
        <v>14-10-2025</v>
      </c>
      <c r="R11"/>
    </row>
    <row r="12" spans="1:18" ht="12.75" x14ac:dyDescent="0.2">
      <c r="A12" s="5" t="s">
        <v>58</v>
      </c>
      <c r="B12" s="5" t="s">
        <v>59</v>
      </c>
      <c r="C12" s="5" t="s">
        <v>60</v>
      </c>
      <c r="D12" s="25">
        <v>950</v>
      </c>
      <c r="E12" s="9">
        <v>25</v>
      </c>
      <c r="F12" s="5" t="s">
        <v>28</v>
      </c>
      <c r="G12" s="9">
        <f t="shared" si="0"/>
        <v>950</v>
      </c>
      <c r="H12" s="30" t="str">
        <f t="shared" si="1"/>
        <v>17-JUN</v>
      </c>
      <c r="I12" s="9" t="str">
        <f t="shared" si="2"/>
        <v>IN</v>
      </c>
      <c r="J12" s="9" t="str">
        <f t="shared" si="3"/>
        <v>HP Laptop</v>
      </c>
      <c r="K12" s="9" t="str">
        <f t="shared" si="4"/>
        <v>17-06-2025</v>
      </c>
      <c r="R12"/>
    </row>
    <row r="13" spans="1:18" ht="12.75" x14ac:dyDescent="0.2">
      <c r="A13" s="8" t="s">
        <v>61</v>
      </c>
      <c r="B13" s="8" t="s">
        <v>30</v>
      </c>
      <c r="C13" s="8" t="s">
        <v>47</v>
      </c>
      <c r="D13" s="26">
        <v>90</v>
      </c>
      <c r="E13" s="10">
        <v>40</v>
      </c>
      <c r="F13" s="8" t="s">
        <v>28</v>
      </c>
      <c r="G13" s="16">
        <f t="shared" si="0"/>
        <v>90</v>
      </c>
      <c r="H13" s="31" t="str">
        <f t="shared" si="1"/>
        <v>25-NOV</v>
      </c>
      <c r="I13" s="16" t="str">
        <f t="shared" si="2"/>
        <v>AU</v>
      </c>
      <c r="J13" s="16" t="str">
        <f t="shared" si="3"/>
        <v>Adidas Sneakers</v>
      </c>
      <c r="K13" s="16" t="str">
        <f t="shared" si="4"/>
        <v>25-11-2025</v>
      </c>
      <c r="R13"/>
    </row>
    <row r="14" spans="1:18" ht="12.75" x14ac:dyDescent="0.2">
      <c r="A14" s="5" t="s">
        <v>62</v>
      </c>
      <c r="B14" s="5" t="s">
        <v>34</v>
      </c>
      <c r="C14" s="24" t="s">
        <v>63</v>
      </c>
      <c r="D14" s="25">
        <v>120</v>
      </c>
      <c r="E14" s="9">
        <v>35</v>
      </c>
      <c r="F14" s="5" t="s">
        <v>28</v>
      </c>
      <c r="G14" s="9">
        <f t="shared" si="0"/>
        <v>120</v>
      </c>
      <c r="H14" s="30" t="str">
        <f t="shared" si="1"/>
        <v>08-DEC</v>
      </c>
      <c r="I14" s="9" t="str">
        <f t="shared" si="2"/>
        <v>DE</v>
      </c>
      <c r="J14" s="9" t="str">
        <f t="shared" si="3"/>
        <v>Nespresso Coffee Maker</v>
      </c>
      <c r="K14" s="9" t="str">
        <f t="shared" si="4"/>
        <v>08-12-2025</v>
      </c>
      <c r="R14"/>
    </row>
    <row r="15" spans="1:18" ht="12.75" x14ac:dyDescent="0.2">
      <c r="A15" s="8" t="s">
        <v>64</v>
      </c>
      <c r="B15" s="8" t="s">
        <v>65</v>
      </c>
      <c r="C15" s="8" t="s">
        <v>66</v>
      </c>
      <c r="D15" s="26">
        <v>150</v>
      </c>
      <c r="E15" s="10">
        <v>15</v>
      </c>
      <c r="F15" s="20" t="s">
        <v>28</v>
      </c>
      <c r="G15" s="16">
        <f t="shared" si="0"/>
        <v>150</v>
      </c>
      <c r="H15" s="31" t="str">
        <f t="shared" si="1"/>
        <v>18-FEB</v>
      </c>
      <c r="I15" s="16" t="str">
        <f t="shared" si="2"/>
        <v>CA</v>
      </c>
      <c r="J15" s="16" t="str">
        <f t="shared" si="3"/>
        <v>Fitbit Smartwatch</v>
      </c>
      <c r="K15" s="16" t="str">
        <f t="shared" si="4"/>
        <v>18-02-2025</v>
      </c>
      <c r="R15"/>
    </row>
    <row r="16" spans="1:18" ht="12.75" x14ac:dyDescent="0.2">
      <c r="A16" s="5" t="s">
        <v>67</v>
      </c>
      <c r="B16" s="22" t="s">
        <v>43</v>
      </c>
      <c r="C16" s="5" t="s">
        <v>68</v>
      </c>
      <c r="D16" s="25">
        <v>250</v>
      </c>
      <c r="E16" s="9">
        <v>20</v>
      </c>
      <c r="F16" s="21" t="s">
        <v>28</v>
      </c>
      <c r="G16" s="9">
        <f t="shared" si="0"/>
        <v>250</v>
      </c>
      <c r="H16" s="30" t="str">
        <f t="shared" si="1"/>
        <v>16-APR</v>
      </c>
      <c r="I16" s="9" t="str">
        <f t="shared" si="2"/>
        <v>ES</v>
      </c>
      <c r="J16" s="9" t="str">
        <f t="shared" si="3"/>
        <v>Bose Headphones</v>
      </c>
      <c r="K16" s="9" t="str">
        <f t="shared" si="4"/>
        <v>16-04-2025</v>
      </c>
      <c r="R16"/>
    </row>
    <row r="17" spans="1:18" ht="12.75" x14ac:dyDescent="0.2">
      <c r="A17" s="8" t="s">
        <v>69</v>
      </c>
      <c r="B17" s="8" t="s">
        <v>70</v>
      </c>
      <c r="C17" s="8" t="s">
        <v>71</v>
      </c>
      <c r="D17" s="26">
        <v>50</v>
      </c>
      <c r="E17" s="10">
        <v>35</v>
      </c>
      <c r="F17" s="8" t="s">
        <v>72</v>
      </c>
      <c r="G17" s="16">
        <f t="shared" si="0"/>
        <v>50</v>
      </c>
      <c r="H17" s="31" t="str">
        <f t="shared" si="1"/>
        <v>21-AUG</v>
      </c>
      <c r="I17" s="16" t="str">
        <f t="shared" si="2"/>
        <v>CA</v>
      </c>
      <c r="J17" s="16" t="str">
        <f t="shared" si="3"/>
        <v>Samsonite Laptop Bag</v>
      </c>
      <c r="K17" s="16" t="str">
        <f t="shared" si="4"/>
        <v>21-08-2025</v>
      </c>
      <c r="R17"/>
    </row>
    <row r="18" spans="1:18" ht="12.75" x14ac:dyDescent="0.2">
      <c r="A18" s="5" t="s">
        <v>73</v>
      </c>
      <c r="B18" s="5" t="s">
        <v>65</v>
      </c>
      <c r="C18" s="5" t="s">
        <v>74</v>
      </c>
      <c r="D18" s="25">
        <v>160</v>
      </c>
      <c r="E18" s="9">
        <v>15</v>
      </c>
      <c r="F18" s="21" t="s">
        <v>28</v>
      </c>
      <c r="G18" s="9">
        <f t="shared" si="0"/>
        <v>160</v>
      </c>
      <c r="H18" s="30" t="str">
        <f t="shared" si="1"/>
        <v>20-AUG</v>
      </c>
      <c r="I18" s="9" t="str">
        <f t="shared" si="2"/>
        <v>CN</v>
      </c>
      <c r="J18" s="9" t="str">
        <f t="shared" si="3"/>
        <v>Huawei Smartwatch</v>
      </c>
      <c r="K18" s="9" t="str">
        <f t="shared" si="4"/>
        <v>20-08-2025</v>
      </c>
      <c r="R18"/>
    </row>
    <row r="19" spans="1:18" ht="12.75" x14ac:dyDescent="0.2">
      <c r="A19" s="8" t="s">
        <v>75</v>
      </c>
      <c r="B19" s="8" t="s">
        <v>26</v>
      </c>
      <c r="C19" s="8" t="s">
        <v>76</v>
      </c>
      <c r="D19" s="26">
        <v>980</v>
      </c>
      <c r="E19" s="10">
        <v>10</v>
      </c>
      <c r="F19" s="8" t="s">
        <v>28</v>
      </c>
      <c r="G19" s="16">
        <f t="shared" si="0"/>
        <v>980</v>
      </c>
      <c r="H19" s="31" t="str">
        <f t="shared" si="1"/>
        <v>27-JAN</v>
      </c>
      <c r="I19" s="16" t="str">
        <f t="shared" si="2"/>
        <v>IT</v>
      </c>
      <c r="J19" s="16" t="str">
        <f t="shared" si="3"/>
        <v>Asus laptop</v>
      </c>
      <c r="K19" s="16" t="str">
        <f t="shared" si="4"/>
        <v>27-01-2025</v>
      </c>
      <c r="R19"/>
    </row>
    <row r="20" spans="1:18" ht="12.75" x14ac:dyDescent="0.2">
      <c r="A20" s="5" t="s">
        <v>77</v>
      </c>
      <c r="B20" s="5" t="s">
        <v>78</v>
      </c>
      <c r="C20" s="5" t="s">
        <v>79</v>
      </c>
      <c r="D20" s="25">
        <v>150</v>
      </c>
      <c r="E20" s="9">
        <v>15</v>
      </c>
      <c r="F20" s="5" t="s">
        <v>32</v>
      </c>
      <c r="G20" s="9">
        <f t="shared" si="0"/>
        <v>150</v>
      </c>
      <c r="H20" s="30" t="str">
        <f t="shared" si="1"/>
        <v>01-MAR</v>
      </c>
      <c r="I20" s="9" t="str">
        <f t="shared" si="2"/>
        <v>UK</v>
      </c>
      <c r="J20" s="9" t="str">
        <f t="shared" si="3"/>
        <v>Oakley Sunglasses</v>
      </c>
      <c r="K20" s="9" t="str">
        <f t="shared" si="4"/>
        <v>01-03-2025</v>
      </c>
      <c r="R20"/>
    </row>
    <row r="21" spans="1:18" ht="12.75" x14ac:dyDescent="0.2">
      <c r="A21" s="8" t="s">
        <v>80</v>
      </c>
      <c r="B21" s="8" t="s">
        <v>81</v>
      </c>
      <c r="C21" s="8" t="s">
        <v>82</v>
      </c>
      <c r="D21" s="28">
        <v>298</v>
      </c>
      <c r="E21" s="10">
        <v>10</v>
      </c>
      <c r="F21" s="8" t="s">
        <v>57</v>
      </c>
      <c r="G21" s="17">
        <f t="shared" si="0"/>
        <v>298</v>
      </c>
      <c r="H21" s="31" t="str">
        <f t="shared" si="1"/>
        <v>14-AUG</v>
      </c>
      <c r="I21" s="16" t="str">
        <f t="shared" si="2"/>
        <v>US</v>
      </c>
      <c r="J21" s="16" t="str">
        <f t="shared" si="3"/>
        <v>Coleman Camping Tent</v>
      </c>
      <c r="K21" s="16" t="str">
        <f t="shared" si="4"/>
        <v>14-08-2025</v>
      </c>
      <c r="L21"/>
      <c r="M21"/>
      <c r="R21"/>
    </row>
    <row r="22" spans="1:18" ht="12.75" x14ac:dyDescent="0.2">
      <c r="A22" s="5" t="s">
        <v>83</v>
      </c>
      <c r="B22" s="5" t="s">
        <v>84</v>
      </c>
      <c r="C22" s="5" t="s">
        <v>85</v>
      </c>
      <c r="D22" s="25">
        <v>700</v>
      </c>
      <c r="E22" s="9">
        <v>50</v>
      </c>
      <c r="F22" s="5" t="s">
        <v>28</v>
      </c>
      <c r="G22" s="9">
        <f t="shared" si="0"/>
        <v>700</v>
      </c>
      <c r="H22" s="30" t="str">
        <f t="shared" si="1"/>
        <v>14-MAY</v>
      </c>
      <c r="I22" s="9" t="str">
        <f t="shared" si="2"/>
        <v>RU</v>
      </c>
      <c r="J22" s="9" t="str">
        <f t="shared" si="3"/>
        <v>Nikon Camera</v>
      </c>
      <c r="K22" s="9" t="str">
        <f t="shared" si="4"/>
        <v>14-05-2025</v>
      </c>
      <c r="L22"/>
      <c r="M22"/>
      <c r="R22"/>
    </row>
    <row r="23" spans="1:18" ht="12.75" x14ac:dyDescent="0.2">
      <c r="A23" s="8" t="s">
        <v>86</v>
      </c>
      <c r="B23" s="8" t="s">
        <v>87</v>
      </c>
      <c r="C23" s="8" t="s">
        <v>88</v>
      </c>
      <c r="D23" s="26">
        <v>80</v>
      </c>
      <c r="E23" s="10">
        <v>20</v>
      </c>
      <c r="F23" s="8" t="s">
        <v>36</v>
      </c>
      <c r="G23" s="16">
        <f t="shared" si="0"/>
        <v>80</v>
      </c>
      <c r="H23" s="31" t="str">
        <f t="shared" si="1"/>
        <v>09-JAN</v>
      </c>
      <c r="I23" s="16" t="str">
        <f t="shared" si="2"/>
        <v>CA</v>
      </c>
      <c r="J23" s="16" t="str">
        <f t="shared" si="3"/>
        <v>Panasonic Microwave</v>
      </c>
      <c r="K23" s="16" t="str">
        <f t="shared" si="4"/>
        <v>09-01-2025</v>
      </c>
      <c r="L23"/>
      <c r="M23"/>
      <c r="N23"/>
      <c r="O23"/>
      <c r="P23"/>
      <c r="Q23"/>
      <c r="R23"/>
    </row>
    <row r="24" spans="1:18" ht="12.75" x14ac:dyDescent="0.2">
      <c r="A24" s="5" t="s">
        <v>89</v>
      </c>
      <c r="B24" s="5" t="s">
        <v>90</v>
      </c>
      <c r="C24" s="5" t="s">
        <v>91</v>
      </c>
      <c r="D24" s="25">
        <v>150</v>
      </c>
      <c r="E24" s="9">
        <v>30</v>
      </c>
      <c r="F24" s="5" t="s">
        <v>28</v>
      </c>
      <c r="G24" s="9">
        <f t="shared" si="0"/>
        <v>150</v>
      </c>
      <c r="H24" s="30" t="str">
        <f t="shared" si="1"/>
        <v>19-JUL</v>
      </c>
      <c r="I24" s="9" t="str">
        <f t="shared" si="2"/>
        <v>BR</v>
      </c>
      <c r="J24" s="9" t="str">
        <f t="shared" si="3"/>
        <v>Xiaomi Fitness Tracker</v>
      </c>
      <c r="K24" s="9" t="str">
        <f t="shared" si="4"/>
        <v>19-07-2025</v>
      </c>
      <c r="L24"/>
      <c r="M24"/>
      <c r="N24"/>
      <c r="O24"/>
      <c r="P24"/>
      <c r="Q24"/>
      <c r="R24"/>
    </row>
    <row r="25" spans="1:18" ht="12.75" x14ac:dyDescent="0.2">
      <c r="A25" s="8" t="s">
        <v>92</v>
      </c>
      <c r="B25" s="8" t="s">
        <v>93</v>
      </c>
      <c r="C25" s="8" t="s">
        <v>94</v>
      </c>
      <c r="D25" s="26">
        <v>800</v>
      </c>
      <c r="E25" s="10">
        <v>45</v>
      </c>
      <c r="F25" s="8" t="s">
        <v>28</v>
      </c>
      <c r="G25" s="16">
        <f t="shared" si="0"/>
        <v>800</v>
      </c>
      <c r="H25" s="31" t="str">
        <f t="shared" si="1"/>
        <v>29-SEP</v>
      </c>
      <c r="I25" s="16" t="str">
        <f t="shared" si="2"/>
        <v>CA</v>
      </c>
      <c r="J25" s="16" t="str">
        <f t="shared" si="3"/>
        <v>Google Smartphone</v>
      </c>
      <c r="K25" s="16" t="str">
        <f t="shared" si="4"/>
        <v>29-09-2025</v>
      </c>
      <c r="L25"/>
      <c r="M25"/>
      <c r="N25"/>
      <c r="O25"/>
      <c r="P25"/>
      <c r="Q25"/>
      <c r="R25"/>
    </row>
    <row r="26" spans="1:18" ht="12.75" x14ac:dyDescent="0.2">
      <c r="A26" s="5" t="s">
        <v>95</v>
      </c>
      <c r="B26" s="5" t="s">
        <v>78</v>
      </c>
      <c r="C26" s="5" t="s">
        <v>96</v>
      </c>
      <c r="D26" s="29">
        <v>298</v>
      </c>
      <c r="E26" s="9">
        <v>25</v>
      </c>
      <c r="F26" s="5" t="s">
        <v>32</v>
      </c>
      <c r="G26" s="18">
        <f t="shared" si="0"/>
        <v>298</v>
      </c>
      <c r="H26" s="30" t="str">
        <f t="shared" si="1"/>
        <v>03-JUN</v>
      </c>
      <c r="I26" s="9" t="str">
        <f t="shared" si="2"/>
        <v>CA</v>
      </c>
      <c r="J26" s="9" t="str">
        <f t="shared" si="3"/>
        <v>Ray-Ban Sunglasses</v>
      </c>
      <c r="K26" s="9" t="str">
        <f t="shared" si="4"/>
        <v>03-06-2025</v>
      </c>
      <c r="L26"/>
      <c r="M26"/>
      <c r="N26"/>
      <c r="O26"/>
      <c r="P26"/>
      <c r="Q26"/>
      <c r="R26"/>
    </row>
    <row r="27" spans="1:18" ht="12.75" x14ac:dyDescent="0.2">
      <c r="A27" s="8" t="s">
        <v>97</v>
      </c>
      <c r="B27" s="8" t="s">
        <v>49</v>
      </c>
      <c r="C27" s="8" t="s">
        <v>98</v>
      </c>
      <c r="D27" s="26">
        <v>400</v>
      </c>
      <c r="E27" s="10">
        <v>40</v>
      </c>
      <c r="F27" s="8" t="s">
        <v>36</v>
      </c>
      <c r="G27" s="16">
        <f t="shared" si="0"/>
        <v>400</v>
      </c>
      <c r="H27" s="31" t="str">
        <f t="shared" si="1"/>
        <v>11-JUL</v>
      </c>
      <c r="I27" s="16" t="str">
        <f t="shared" si="2"/>
        <v>CA</v>
      </c>
      <c r="J27" s="16" t="str">
        <f t="shared" si="3"/>
        <v>Vitamix Blender</v>
      </c>
      <c r="K27" s="16" t="str">
        <f t="shared" si="4"/>
        <v>11-07-2025</v>
      </c>
      <c r="L27"/>
      <c r="M27"/>
      <c r="N27"/>
      <c r="O27"/>
      <c r="P27"/>
      <c r="Q27"/>
      <c r="R27"/>
    </row>
    <row r="28" spans="1:18" ht="12.75" x14ac:dyDescent="0.2">
      <c r="A28" s="5" t="s">
        <v>99</v>
      </c>
      <c r="B28" s="5" t="s">
        <v>100</v>
      </c>
      <c r="C28" s="5" t="s">
        <v>101</v>
      </c>
      <c r="D28" s="25">
        <v>60</v>
      </c>
      <c r="E28" s="9">
        <v>30</v>
      </c>
      <c r="F28" s="5" t="s">
        <v>32</v>
      </c>
      <c r="G28" s="9">
        <f t="shared" si="0"/>
        <v>60</v>
      </c>
      <c r="H28" s="30" t="str">
        <f t="shared" si="1"/>
        <v>07-MAR</v>
      </c>
      <c r="I28" s="9" t="str">
        <f t="shared" si="2"/>
        <v>CA</v>
      </c>
      <c r="J28" s="9" t="str">
        <f t="shared" si="3"/>
        <v>Zara Dress</v>
      </c>
      <c r="K28" s="9" t="str">
        <f t="shared" si="4"/>
        <v>07-03-2025</v>
      </c>
      <c r="L28"/>
      <c r="M28"/>
      <c r="N28"/>
      <c r="O28"/>
      <c r="P28"/>
      <c r="Q28"/>
      <c r="R28"/>
    </row>
    <row r="29" spans="1:18" ht="12.75" x14ac:dyDescent="0.2">
      <c r="A29" s="8" t="s">
        <v>102</v>
      </c>
      <c r="B29" s="8" t="s">
        <v>103</v>
      </c>
      <c r="C29" s="8" t="s">
        <v>104</v>
      </c>
      <c r="D29" s="26">
        <v>40</v>
      </c>
      <c r="E29" s="10">
        <v>10</v>
      </c>
      <c r="F29" s="8" t="s">
        <v>36</v>
      </c>
      <c r="G29" s="16">
        <f t="shared" si="0"/>
        <v>40</v>
      </c>
      <c r="H29" s="31" t="str">
        <f t="shared" si="1"/>
        <v>13-APR</v>
      </c>
      <c r="I29" s="16" t="str">
        <f t="shared" si="2"/>
        <v>CA</v>
      </c>
      <c r="J29" s="16" t="str">
        <f t="shared" si="3"/>
        <v>Hamilton Toaster</v>
      </c>
      <c r="K29" s="16" t="str">
        <f t="shared" si="4"/>
        <v>13-04-2025</v>
      </c>
      <c r="L29"/>
      <c r="M29"/>
      <c r="N29"/>
      <c r="O29"/>
      <c r="P29"/>
      <c r="Q29"/>
      <c r="R29"/>
    </row>
    <row r="30" spans="1:18" ht="12.75" x14ac:dyDescent="0.2">
      <c r="A30" s="5" t="s">
        <v>105</v>
      </c>
      <c r="B30" s="5" t="s">
        <v>90</v>
      </c>
      <c r="C30" s="5" t="s">
        <v>106</v>
      </c>
      <c r="D30" s="25">
        <v>130</v>
      </c>
      <c r="E30" s="9">
        <v>5</v>
      </c>
      <c r="F30" s="5" t="s">
        <v>28</v>
      </c>
      <c r="G30" s="9">
        <f t="shared" si="0"/>
        <v>130</v>
      </c>
      <c r="H30" s="30" t="str">
        <f t="shared" si="1"/>
        <v>24-MAY</v>
      </c>
      <c r="I30" s="9" t="str">
        <f t="shared" si="2"/>
        <v>CA</v>
      </c>
      <c r="J30" s="9" t="str">
        <f t="shared" si="3"/>
        <v>Garmin Fitness Tracker</v>
      </c>
      <c r="K30" s="9" t="str">
        <f t="shared" si="4"/>
        <v>24-05-2025</v>
      </c>
      <c r="L30"/>
      <c r="M30"/>
      <c r="N30"/>
      <c r="O30"/>
      <c r="P30"/>
      <c r="Q30"/>
      <c r="R30"/>
    </row>
    <row r="31" spans="1:18" ht="12.75" x14ac:dyDescent="0.2">
      <c r="A31" s="8" t="s">
        <v>107</v>
      </c>
      <c r="B31" s="8" t="s">
        <v>108</v>
      </c>
      <c r="C31" s="8" t="s">
        <v>109</v>
      </c>
      <c r="D31" s="26">
        <v>50</v>
      </c>
      <c r="E31" s="10">
        <v>50</v>
      </c>
      <c r="F31" s="8" t="s">
        <v>32</v>
      </c>
      <c r="G31" s="16">
        <f t="shared" si="0"/>
        <v>50</v>
      </c>
      <c r="H31" s="31" t="str">
        <f t="shared" si="1"/>
        <v>02-DEC</v>
      </c>
      <c r="I31" s="16" t="str">
        <f t="shared" si="2"/>
        <v>CA</v>
      </c>
      <c r="J31" s="16" t="str">
        <f t="shared" si="3"/>
        <v>Levi's Jeans</v>
      </c>
      <c r="K31" s="16" t="str">
        <f t="shared" si="4"/>
        <v>02-12-2025</v>
      </c>
      <c r="L31"/>
      <c r="M31"/>
      <c r="N31"/>
      <c r="O31"/>
      <c r="P31"/>
      <c r="Q31"/>
      <c r="R31"/>
    </row>
    <row r="32" spans="1:18" ht="12.75" x14ac:dyDescent="0.2">
      <c r="A32" s="5" t="s">
        <v>110</v>
      </c>
      <c r="B32" s="5" t="s">
        <v>111</v>
      </c>
      <c r="C32" s="5" t="s">
        <v>112</v>
      </c>
      <c r="D32" s="25">
        <v>100</v>
      </c>
      <c r="E32" s="9">
        <v>20</v>
      </c>
      <c r="F32" s="5" t="s">
        <v>72</v>
      </c>
      <c r="G32" s="9">
        <f t="shared" si="0"/>
        <v>100</v>
      </c>
      <c r="H32" s="30" t="str">
        <f t="shared" si="1"/>
        <v>09-JUL</v>
      </c>
      <c r="I32" s="9" t="str">
        <f t="shared" si="2"/>
        <v>FR</v>
      </c>
      <c r="J32" s="9" t="str">
        <f t="shared" si="3"/>
        <v>Casio Watch</v>
      </c>
      <c r="K32" s="9" t="str">
        <f t="shared" si="4"/>
        <v>09-07-2025</v>
      </c>
      <c r="L32"/>
      <c r="M32"/>
      <c r="N32"/>
      <c r="O32"/>
      <c r="P32"/>
      <c r="Q32"/>
      <c r="R32"/>
    </row>
    <row r="33" spans="13:16" ht="15.75" customHeight="1" x14ac:dyDescent="0.2">
      <c r="O33" s="23"/>
    </row>
    <row r="34" spans="13:16" ht="15.75" customHeight="1" x14ac:dyDescent="0.2">
      <c r="M34" s="14" t="s">
        <v>149</v>
      </c>
      <c r="N34" s="13" t="s">
        <v>118</v>
      </c>
      <c r="O34" s="13" t="s">
        <v>122</v>
      </c>
      <c r="P34" s="13" t="s">
        <v>114</v>
      </c>
    </row>
    <row r="35" spans="13:16" ht="34.5" customHeight="1" x14ac:dyDescent="0.2">
      <c r="M35" s="37">
        <v>1</v>
      </c>
      <c r="N35" s="34" t="s">
        <v>115</v>
      </c>
      <c r="O35" s="38" t="s">
        <v>150</v>
      </c>
      <c r="P35" s="35" t="s">
        <v>116</v>
      </c>
    </row>
    <row r="36" spans="13:16" ht="52.5" customHeight="1" x14ac:dyDescent="0.2">
      <c r="M36" s="37">
        <v>2</v>
      </c>
      <c r="N36" s="34" t="s">
        <v>117</v>
      </c>
      <c r="O36" s="38" t="s">
        <v>123</v>
      </c>
      <c r="P36" s="35" t="s">
        <v>119</v>
      </c>
    </row>
    <row r="37" spans="13:16" ht="33.75" customHeight="1" x14ac:dyDescent="0.2">
      <c r="M37" s="37">
        <v>3</v>
      </c>
      <c r="N37" s="34" t="s">
        <v>120</v>
      </c>
      <c r="O37" s="38"/>
      <c r="P37" s="35" t="s">
        <v>125</v>
      </c>
    </row>
    <row r="38" spans="13:16" ht="20.25" customHeight="1" x14ac:dyDescent="0.2">
      <c r="M38" s="37">
        <v>4</v>
      </c>
      <c r="N38" s="34" t="s">
        <v>121</v>
      </c>
      <c r="O38" s="38"/>
      <c r="P38" s="35" t="s">
        <v>126</v>
      </c>
    </row>
    <row r="39" spans="13:16" ht="43.5" customHeight="1" x14ac:dyDescent="0.2">
      <c r="M39" s="37">
        <v>5</v>
      </c>
      <c r="N39" s="34" t="s">
        <v>124</v>
      </c>
      <c r="O39" s="38" t="s">
        <v>127</v>
      </c>
      <c r="P39" s="35" t="s">
        <v>152</v>
      </c>
    </row>
    <row r="40" spans="13:16" ht="42" customHeight="1" x14ac:dyDescent="0.2">
      <c r="M40" s="37">
        <v>6</v>
      </c>
      <c r="N40" s="35" t="s">
        <v>148</v>
      </c>
      <c r="O40" s="38" t="s">
        <v>128</v>
      </c>
      <c r="P40" s="35" t="s">
        <v>153</v>
      </c>
    </row>
    <row r="41" spans="13:16" ht="44.25" customHeight="1" x14ac:dyDescent="0.2">
      <c r="M41" s="37">
        <v>7</v>
      </c>
      <c r="N41" s="34" t="s">
        <v>129</v>
      </c>
      <c r="O41" s="38" t="s">
        <v>132</v>
      </c>
      <c r="P41" s="36" t="s">
        <v>151</v>
      </c>
    </row>
    <row r="42" spans="13:16" ht="30" customHeight="1" x14ac:dyDescent="0.2">
      <c r="M42" s="37">
        <v>8</v>
      </c>
      <c r="N42" s="34" t="s">
        <v>134</v>
      </c>
      <c r="O42" s="38" t="s">
        <v>135</v>
      </c>
      <c r="P42" s="35" t="s">
        <v>136</v>
      </c>
    </row>
    <row r="43" spans="13:16" ht="30.75" customHeight="1" x14ac:dyDescent="0.2">
      <c r="M43" s="37">
        <v>9</v>
      </c>
      <c r="N43" s="34" t="s">
        <v>137</v>
      </c>
      <c r="O43" s="39" t="s">
        <v>138</v>
      </c>
      <c r="P43" s="34"/>
    </row>
    <row r="44" spans="13:16" ht="32.25" customHeight="1" x14ac:dyDescent="0.2">
      <c r="M44" s="37">
        <v>10</v>
      </c>
      <c r="N44" s="34" t="s">
        <v>140</v>
      </c>
      <c r="O44" s="38" t="s">
        <v>154</v>
      </c>
      <c r="P44" s="35" t="s">
        <v>141</v>
      </c>
    </row>
    <row r="45" spans="13:16" ht="31.5" customHeight="1" x14ac:dyDescent="0.2">
      <c r="M45" s="37">
        <v>11</v>
      </c>
      <c r="N45" s="34" t="s">
        <v>142</v>
      </c>
      <c r="O45" s="38" t="s">
        <v>143</v>
      </c>
      <c r="P45" s="35" t="s">
        <v>146</v>
      </c>
    </row>
    <row r="46" spans="13:16" ht="38.25" customHeight="1" x14ac:dyDescent="0.2">
      <c r="M46" s="37">
        <v>12</v>
      </c>
      <c r="N46" s="34" t="s">
        <v>144</v>
      </c>
      <c r="O46" s="39" t="s">
        <v>145</v>
      </c>
      <c r="P46" s="35" t="s">
        <v>147</v>
      </c>
    </row>
    <row r="47" spans="13:16" ht="15.75" customHeight="1" x14ac:dyDescent="0.2"/>
    <row r="48" spans="13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conditionalFormatting sqref="D2:D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3549D-C93E-4CE6-BC2B-B8CAFCD12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Sundaravadanam</cp:lastModifiedBy>
  <dcterms:modified xsi:type="dcterms:W3CDTF">2025-07-17T04:58:10Z</dcterms:modified>
</cp:coreProperties>
</file>