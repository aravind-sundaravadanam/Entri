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Data Analytics\Excel\Assignment\"/>
    </mc:Choice>
  </mc:AlternateContent>
  <xr:revisionPtr revIDLastSave="0" documentId="13_ncr:1_{AA8E3832-8CBD-4E3C-BBD3-127E344A597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C41" i="2" l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C47" i="2"/>
  <c r="C4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C44" i="2"/>
  <c r="C43" i="2"/>
  <c r="C42" i="2"/>
  <c r="C40" i="2"/>
</calcChain>
</file>

<file path=xl/sharedStrings.xml><?xml version="1.0" encoding="utf-8"?>
<sst xmlns="http://schemas.openxmlformats.org/spreadsheetml/2006/main" count="193" uniqueCount="144">
  <si>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</si>
  <si>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</si>
  <si>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</si>
  <si>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</si>
  <si>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</si>
  <si>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</si>
  <si>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</si>
  <si>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</si>
  <si>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</si>
  <si>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</si>
  <si>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</si>
  <si>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</si>
  <si>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</si>
  <si>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</si>
  <si>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</si>
  <si>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</si>
  <si>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</si>
  <si>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</si>
  <si>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</si>
  <si>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</si>
  <si>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</si>
  <si>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</si>
  <si>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</si>
  <si>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</si>
  <si>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</si>
  <si>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</si>
  <si>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</si>
  <si>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</si>
  <si>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</si>
  <si>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</si>
  <si>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</si>
  <si>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</si>
  <si>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</si>
  <si>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</si>
  <si>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</si>
  <si>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</si>
  <si>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</si>
  <si>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</si>
  <si>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</si>
  <si>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</si>
  <si>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</si>
  <si>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</si>
  <si>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</si>
  <si>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</si>
  <si>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</si>
  <si>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</si>
  <si>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</si>
  <si>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</si>
  <si>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</si>
  <si>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</si>
  <si>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</si>
  <si>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</si>
  <si>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</si>
  <si>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</si>
  <si>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</si>
  <si>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</si>
  <si>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</si>
  <si>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</si>
  <si>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</si>
  <si>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</si>
  <si>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</si>
  <si>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</si>
  <si>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</si>
  <si>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</si>
  <si>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</si>
  <si>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</si>
  <si>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</si>
  <si>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</si>
  <si>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</si>
  <si>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</si>
  <si>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</si>
  <si>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</si>
  <si>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</si>
  <si>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</si>
  <si>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</si>
  <si>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</si>
  <si>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</si>
  <si>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</si>
  <si>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</si>
  <si>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</si>
  <si>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</si>
  <si>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</si>
  <si>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</si>
  <si>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</si>
  <si>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</si>
  <si>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</si>
  <si>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</si>
  <si>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</si>
  <si>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</si>
  <si>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</si>
  <si>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</si>
  <si>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</si>
  <si>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</si>
  <si>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</si>
  <si>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</si>
  <si>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</si>
  <si>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</si>
  <si>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</si>
  <si>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</si>
  <si>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</si>
  <si>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</si>
  <si>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</si>
  <si>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</si>
  <si>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</si>
  <si>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</si>
  <si>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</si>
  <si>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</si>
  <si>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</si>
  <si>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</si>
  <si>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</si>
  <si>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Task </t>
  </si>
  <si>
    <t>Result</t>
  </si>
  <si>
    <t>What is the total price of all products in the dataset?</t>
  </si>
  <si>
    <t>Used Function</t>
  </si>
  <si>
    <t>SUM</t>
  </si>
  <si>
    <t>AVERAGE</t>
  </si>
  <si>
    <t>Determine the minimum price among all products.</t>
  </si>
  <si>
    <t>MIN</t>
  </si>
  <si>
    <t>Find the maximum price among all products.</t>
  </si>
  <si>
    <t>Calculate the average price of the products.</t>
  </si>
  <si>
    <t>MAX</t>
  </si>
  <si>
    <t>Qus.No.</t>
  </si>
  <si>
    <t>Using an IF function, create a new column named Price Range to categorize products with a price greater than or equal to $500 as 'High Price' and others as 'Standard Price'.</t>
  </si>
  <si>
    <t>Price Range</t>
  </si>
  <si>
    <t>IF</t>
  </si>
  <si>
    <t>Calculate the total price for products in the 'Electronics' category using the SUMIF function.</t>
  </si>
  <si>
    <t>SUMIF</t>
  </si>
  <si>
    <t>Determine the count of products with a price less than $100 using the COUNTIF function.</t>
  </si>
  <si>
    <t>COUNTIF</t>
  </si>
  <si>
    <t>Create a new column named Day with the first 2 characters of each 'Product ID' using the LEFT function.</t>
  </si>
  <si>
    <t>Day</t>
  </si>
  <si>
    <r>
      <t xml:space="preserve">in </t>
    </r>
    <r>
      <rPr>
        <b/>
        <sz val="10"/>
        <color rgb="FF000000"/>
        <rFont val="Arial"/>
        <family val="2"/>
        <scheme val="minor"/>
      </rPr>
      <t>H</t>
    </r>
    <r>
      <rPr>
        <sz val="10"/>
        <color rgb="FF000000"/>
        <rFont val="Arial"/>
        <family val="2"/>
        <scheme val="minor"/>
      </rPr>
      <t xml:space="preserve"> Column </t>
    </r>
  </si>
  <si>
    <r>
      <t xml:space="preserve">in </t>
    </r>
    <r>
      <rPr>
        <b/>
        <sz val="10"/>
        <color rgb="FF000000"/>
        <rFont val="Arial"/>
        <family val="2"/>
        <scheme val="minor"/>
      </rPr>
      <t>G</t>
    </r>
    <r>
      <rPr>
        <sz val="10"/>
        <color rgb="FF000000"/>
        <rFont val="Arial"/>
        <family val="2"/>
        <scheme val="minor"/>
      </rPr>
      <t xml:space="preserve"> Column </t>
    </r>
  </si>
  <si>
    <t>Create a new column named Country Code by extracting the last 2 characters from the 'Product ID' column using the RIGHT function.</t>
  </si>
  <si>
    <t>Country Code</t>
  </si>
  <si>
    <t>LEFT</t>
  </si>
  <si>
    <r>
      <t xml:space="preserve">in </t>
    </r>
    <r>
      <rPr>
        <b/>
        <sz val="10"/>
        <color rgb="FF000000"/>
        <rFont val="Arial"/>
        <family val="2"/>
        <scheme val="minor"/>
      </rPr>
      <t>I</t>
    </r>
    <r>
      <rPr>
        <sz val="10"/>
        <color rgb="FF000000"/>
        <rFont val="Arial"/>
        <family val="2"/>
        <scheme val="minor"/>
      </rPr>
      <t xml:space="preserve"> Column </t>
    </r>
  </si>
  <si>
    <t>RIGHT</t>
  </si>
  <si>
    <t>Create a new column named Month by extracting 4th to 6th characters from the 'Product ID' column using the MID function.</t>
  </si>
  <si>
    <t>Month</t>
  </si>
  <si>
    <r>
      <t xml:space="preserve">in </t>
    </r>
    <r>
      <rPr>
        <b/>
        <sz val="10"/>
        <color rgb="FF000000"/>
        <rFont val="Arial"/>
        <family val="2"/>
        <scheme val="minor"/>
      </rPr>
      <t>J</t>
    </r>
    <r>
      <rPr>
        <sz val="10"/>
        <color rgb="FF000000"/>
        <rFont val="Arial"/>
        <family val="2"/>
        <scheme val="minor"/>
      </rPr>
      <t xml:space="preserve"> Column </t>
    </r>
  </si>
  <si>
    <t>MID</t>
  </si>
  <si>
    <t>How many products are there in the dataset?</t>
  </si>
  <si>
    <t>COUNTA &amp;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</si>
</sst>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 tint="0.79998168889431442"/>
        <bgColor rgb="FFE0F7FA"/>
      </patternFill>
    </fill>
    <fill>
      <patternFill patternType="solid">
        <fgColor theme="7" tint="-0.249977111117893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0" borderId="0" xfId="0" applyFont="1" applyAlignment="1">
      <alignment horizontal="center"/>
    </xf>
    <xf numFmtId="0" fontId="5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/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7D500-9B32-410E-87B6-E7D4416A254C}" name="Table1" displayName="Table1" ref="A39:D50" totalsRowShown="0" headerRowDxfId="3">
  <autoFilter ref="A39:D50" xr:uid="{11F7D500-9B32-410E-87B6-E7D4416A254C}"/>
  <tableColumns count="4">
    <tableColumn id="1" xr3:uid="{5D27B993-78BC-40E5-BA60-10B44C84DE90}" name="Qus.No."/>
    <tableColumn id="2" xr3:uid="{45B2C18E-BE3B-4109-B7BB-BA941CDF0290}" name="Task " dataDxfId="2"/>
    <tableColumn id="3" xr3:uid="{FACAD2E5-4156-402E-B5C7-975DD0C0789F}" name="Result" dataDxfId="1"/>
    <tableColumn id="4" xr3:uid="{D53FF084-2E69-40F3-8BEF-2A667857C67A}" name="Used Function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22" sqref="C22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15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15" t="s">
        <v>11</v>
      </c>
    </row>
    <row r="17" spans="2:3" ht="15.75" customHeight="1" x14ac:dyDescent="0.25">
      <c r="C17" s="15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15" t="s">
        <v>14</v>
      </c>
    </row>
    <row r="21" spans="2:3" ht="15.75" customHeight="1" x14ac:dyDescent="0.25">
      <c r="C21" s="15" t="s">
        <v>15</v>
      </c>
    </row>
    <row r="22" spans="2:3" ht="15.75" customHeight="1" x14ac:dyDescent="0.25">
      <c r="C22" s="15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topLeftCell="A15" workbookViewId="0">
      <selection activeCell="F41" sqref="F41"/>
    </sheetView>
  </sheetViews>
  <sheetFormatPr defaultColWidth="12.5703125" defaultRowHeight="15" customHeight="1" x14ac:dyDescent="0.2"/>
  <cols>
    <col min="1" max="1" width="14.5703125" customWidth="1"/>
    <col min="2" max="2" width="45.42578125" style="12" bestFit="1" customWidth="1"/>
    <col min="3" max="3" width="12.5703125" customWidth="1"/>
    <col min="4" max="4" width="18.28515625" customWidth="1"/>
    <col min="5" max="6" width="12.5703125" customWidth="1"/>
  </cols>
  <sheetData>
    <row r="1" spans="1:10" ht="15.75" customHeight="1" x14ac:dyDescent="0.2">
      <c r="A1" s="5" t="s">
        <v>17</v>
      </c>
      <c r="B1" s="9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20" t="s">
        <v>123</v>
      </c>
      <c r="H1" s="20" t="s">
        <v>130</v>
      </c>
      <c r="I1" s="20" t="s">
        <v>134</v>
      </c>
      <c r="J1" s="20" t="s">
        <v>139</v>
      </c>
    </row>
    <row r="2" spans="1:10" ht="15.75" customHeight="1" x14ac:dyDescent="0.2">
      <c r="A2" s="6" t="s">
        <v>23</v>
      </c>
      <c r="B2" s="10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IF(D2&gt;=500,"High Price","Standard Price")</f>
        <v>High Price</v>
      </c>
      <c r="H2" s="8" t="str">
        <f>LEFT(A2,2)</f>
        <v>28</v>
      </c>
      <c r="I2" s="6" t="str">
        <f>RIGHT(A2,2)</f>
        <v>US</v>
      </c>
      <c r="J2" s="6" t="str">
        <f>MID(A2,4,3)</f>
        <v>JAN</v>
      </c>
    </row>
    <row r="3" spans="1:10" ht="15.75" customHeight="1" x14ac:dyDescent="0.2">
      <c r="A3" s="7" t="s">
        <v>27</v>
      </c>
      <c r="B3" s="11" t="s">
        <v>28</v>
      </c>
      <c r="C3" s="7" t="s">
        <v>29</v>
      </c>
      <c r="D3" s="7">
        <v>80</v>
      </c>
      <c r="E3" s="7">
        <v>15</v>
      </c>
      <c r="F3" s="7" t="s">
        <v>30</v>
      </c>
      <c r="G3" s="18" t="str">
        <f t="shared" ref="G3:G35" si="0">IF(D3&gt;=500,"High Price","Standard Price")</f>
        <v>Standard Price</v>
      </c>
      <c r="H3" s="19" t="str">
        <f t="shared" ref="H3:H35" si="1">LEFT(A3,2)</f>
        <v>15</v>
      </c>
      <c r="I3" s="18" t="str">
        <f t="shared" ref="I3:I35" si="2">RIGHT(A3,2)</f>
        <v>US</v>
      </c>
      <c r="J3" s="18" t="str">
        <f t="shared" ref="J3:J35" si="3">MID(A3,4,3)</f>
        <v>FEB</v>
      </c>
    </row>
    <row r="4" spans="1:10" ht="15.75" customHeight="1" x14ac:dyDescent="0.2">
      <c r="A4" s="6" t="s">
        <v>31</v>
      </c>
      <c r="B4" s="10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s="8" t="str">
        <f t="shared" si="1"/>
        <v>03</v>
      </c>
      <c r="I4" s="6" t="str">
        <f t="shared" si="2"/>
        <v>US</v>
      </c>
      <c r="J4" s="6" t="str">
        <f t="shared" si="3"/>
        <v>MAR</v>
      </c>
    </row>
    <row r="5" spans="1:10" ht="15.75" customHeight="1" x14ac:dyDescent="0.2">
      <c r="A5" s="7" t="s">
        <v>35</v>
      </c>
      <c r="B5" s="11" t="s">
        <v>36</v>
      </c>
      <c r="C5" s="7" t="s">
        <v>37</v>
      </c>
      <c r="D5" s="7">
        <v>900</v>
      </c>
      <c r="E5" s="7">
        <v>25</v>
      </c>
      <c r="F5" s="7" t="s">
        <v>26</v>
      </c>
      <c r="G5" s="18" t="str">
        <f t="shared" si="0"/>
        <v>High Price</v>
      </c>
      <c r="H5" s="19" t="str">
        <f t="shared" si="1"/>
        <v>11</v>
      </c>
      <c r="I5" s="18" t="str">
        <f t="shared" si="2"/>
        <v>US</v>
      </c>
      <c r="J5" s="18" t="str">
        <f t="shared" si="3"/>
        <v>APR</v>
      </c>
    </row>
    <row r="6" spans="1:10" ht="15.75" customHeight="1" x14ac:dyDescent="0.2">
      <c r="A6" s="6" t="s">
        <v>38</v>
      </c>
      <c r="B6" s="10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s="8" t="str">
        <f t="shared" si="1"/>
        <v>22</v>
      </c>
      <c r="I6" s="6" t="str">
        <f t="shared" si="2"/>
        <v>US</v>
      </c>
      <c r="J6" s="6" t="str">
        <f t="shared" si="3"/>
        <v>MAY</v>
      </c>
    </row>
    <row r="7" spans="1:10" ht="15.75" customHeight="1" x14ac:dyDescent="0.2">
      <c r="A7" s="7" t="s">
        <v>42</v>
      </c>
      <c r="B7" s="11" t="s">
        <v>43</v>
      </c>
      <c r="C7" s="7" t="s">
        <v>44</v>
      </c>
      <c r="D7" s="7">
        <v>200</v>
      </c>
      <c r="E7" s="7">
        <v>45</v>
      </c>
      <c r="F7" s="7" t="s">
        <v>26</v>
      </c>
      <c r="G7" s="18" t="str">
        <f t="shared" si="0"/>
        <v>Standard Price</v>
      </c>
      <c r="H7" s="19" t="str">
        <f t="shared" si="1"/>
        <v>07</v>
      </c>
      <c r="I7" s="18" t="str">
        <f t="shared" si="2"/>
        <v>UK</v>
      </c>
      <c r="J7" s="18" t="str">
        <f t="shared" si="3"/>
        <v>JUN</v>
      </c>
    </row>
    <row r="8" spans="1:10" ht="15.75" customHeight="1" x14ac:dyDescent="0.2">
      <c r="A8" s="6" t="s">
        <v>45</v>
      </c>
      <c r="B8" s="10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s="8" t="str">
        <f t="shared" si="1"/>
        <v>19</v>
      </c>
      <c r="I8" s="6" t="str">
        <f t="shared" si="2"/>
        <v>UK</v>
      </c>
      <c r="J8" s="6" t="str">
        <f t="shared" si="3"/>
        <v>JUL</v>
      </c>
    </row>
    <row r="9" spans="1:10" ht="15.75" customHeight="1" x14ac:dyDescent="0.2">
      <c r="A9" s="7" t="s">
        <v>48</v>
      </c>
      <c r="B9" s="11" t="s">
        <v>49</v>
      </c>
      <c r="C9" s="7" t="s">
        <v>50</v>
      </c>
      <c r="D9" s="7">
        <v>90</v>
      </c>
      <c r="E9" s="7">
        <v>35</v>
      </c>
      <c r="F9" s="7" t="s">
        <v>34</v>
      </c>
      <c r="G9" s="18" t="str">
        <f t="shared" si="0"/>
        <v>Standard Price</v>
      </c>
      <c r="H9" s="19" t="str">
        <f t="shared" si="1"/>
        <v>23</v>
      </c>
      <c r="I9" s="18" t="str">
        <f t="shared" si="2"/>
        <v>UK</v>
      </c>
      <c r="J9" s="18" t="str">
        <f t="shared" si="3"/>
        <v>AUG</v>
      </c>
    </row>
    <row r="10" spans="1:10" ht="15.75" customHeight="1" x14ac:dyDescent="0.2">
      <c r="A10" s="6" t="s">
        <v>51</v>
      </c>
      <c r="B10" s="10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 Price</v>
      </c>
      <c r="H10" s="8" t="str">
        <f t="shared" si="1"/>
        <v>05</v>
      </c>
      <c r="I10" s="6" t="str">
        <f t="shared" si="2"/>
        <v>UK</v>
      </c>
      <c r="J10" s="6" t="str">
        <f t="shared" si="3"/>
        <v>SEP</v>
      </c>
    </row>
    <row r="11" spans="1:10" ht="15.75" customHeight="1" x14ac:dyDescent="0.2">
      <c r="A11" s="7" t="s">
        <v>54</v>
      </c>
      <c r="B11" s="11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18" t="str">
        <f t="shared" si="0"/>
        <v>Standard Price</v>
      </c>
      <c r="H11" s="19" t="str">
        <f t="shared" si="1"/>
        <v>14</v>
      </c>
      <c r="I11" s="18" t="str">
        <f t="shared" si="2"/>
        <v>UK</v>
      </c>
      <c r="J11" s="18" t="str">
        <f t="shared" si="3"/>
        <v>OCT</v>
      </c>
    </row>
    <row r="12" spans="1:10" ht="15.75" customHeight="1" x14ac:dyDescent="0.2">
      <c r="A12" s="6" t="s">
        <v>57</v>
      </c>
      <c r="B12" s="10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s="8" t="str">
        <f t="shared" si="1"/>
        <v>17</v>
      </c>
      <c r="I12" s="6" t="str">
        <f t="shared" si="2"/>
        <v>IN</v>
      </c>
      <c r="J12" s="6" t="str">
        <f t="shared" si="3"/>
        <v>JUN</v>
      </c>
    </row>
    <row r="13" spans="1:10" ht="15.75" customHeight="1" x14ac:dyDescent="0.2">
      <c r="A13" s="7" t="s">
        <v>59</v>
      </c>
      <c r="B13" s="11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18" t="str">
        <f t="shared" si="0"/>
        <v>Standard Price</v>
      </c>
      <c r="H13" s="19" t="str">
        <f t="shared" si="1"/>
        <v>25</v>
      </c>
      <c r="I13" s="18" t="str">
        <f t="shared" si="2"/>
        <v>AU</v>
      </c>
      <c r="J13" s="18" t="str">
        <f t="shared" si="3"/>
        <v>NOV</v>
      </c>
    </row>
    <row r="14" spans="1:10" ht="15.75" customHeight="1" x14ac:dyDescent="0.2">
      <c r="A14" s="6" t="s">
        <v>60</v>
      </c>
      <c r="B14" s="10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s="8" t="str">
        <f t="shared" si="1"/>
        <v>08</v>
      </c>
      <c r="I14" s="6" t="str">
        <f t="shared" si="2"/>
        <v>DE</v>
      </c>
      <c r="J14" s="6" t="str">
        <f t="shared" si="3"/>
        <v>DEC</v>
      </c>
    </row>
    <row r="15" spans="1:10" ht="15.75" customHeight="1" x14ac:dyDescent="0.2">
      <c r="A15" s="7" t="s">
        <v>62</v>
      </c>
      <c r="B15" s="11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18" t="str">
        <f t="shared" si="0"/>
        <v>Standard Price</v>
      </c>
      <c r="H15" s="19" t="str">
        <f t="shared" si="1"/>
        <v>18</v>
      </c>
      <c r="I15" s="18" t="str">
        <f t="shared" si="2"/>
        <v>CA</v>
      </c>
      <c r="J15" s="18" t="str">
        <f t="shared" si="3"/>
        <v>FEB</v>
      </c>
    </row>
    <row r="16" spans="1:10" ht="15.75" customHeight="1" x14ac:dyDescent="0.2">
      <c r="A16" s="6" t="s">
        <v>65</v>
      </c>
      <c r="B16" s="10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s="8" t="str">
        <f t="shared" si="1"/>
        <v>16</v>
      </c>
      <c r="I16" s="6" t="str">
        <f t="shared" si="2"/>
        <v>ES</v>
      </c>
      <c r="J16" s="6" t="str">
        <f t="shared" si="3"/>
        <v>APR</v>
      </c>
    </row>
    <row r="17" spans="1:10" ht="15.75" customHeight="1" x14ac:dyDescent="0.2">
      <c r="A17" s="7" t="s">
        <v>67</v>
      </c>
      <c r="B17" s="11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18" t="str">
        <f t="shared" si="0"/>
        <v>Standard Price</v>
      </c>
      <c r="H17" s="19" t="str">
        <f t="shared" si="1"/>
        <v>21</v>
      </c>
      <c r="I17" s="18" t="str">
        <f t="shared" si="2"/>
        <v>CA</v>
      </c>
      <c r="J17" s="18" t="str">
        <f t="shared" si="3"/>
        <v>AUG</v>
      </c>
    </row>
    <row r="18" spans="1:10" ht="15.75" customHeight="1" x14ac:dyDescent="0.2">
      <c r="A18" s="6" t="s">
        <v>71</v>
      </c>
      <c r="B18" s="10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s="8" t="str">
        <f t="shared" si="1"/>
        <v>20</v>
      </c>
      <c r="I18" s="6" t="str">
        <f t="shared" si="2"/>
        <v>CN</v>
      </c>
      <c r="J18" s="6" t="str">
        <f t="shared" si="3"/>
        <v>AUG</v>
      </c>
    </row>
    <row r="19" spans="1:10" ht="15.75" customHeight="1" x14ac:dyDescent="0.2">
      <c r="A19" s="7" t="s">
        <v>73</v>
      </c>
      <c r="B19" s="11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18" t="str">
        <f t="shared" si="0"/>
        <v>High Price</v>
      </c>
      <c r="H19" s="19" t="str">
        <f t="shared" si="1"/>
        <v>27</v>
      </c>
      <c r="I19" s="18" t="str">
        <f t="shared" si="2"/>
        <v>IT</v>
      </c>
      <c r="J19" s="18" t="str">
        <f t="shared" si="3"/>
        <v>JAN</v>
      </c>
    </row>
    <row r="20" spans="1:10" ht="15.75" customHeight="1" x14ac:dyDescent="0.2">
      <c r="A20" s="6" t="s">
        <v>75</v>
      </c>
      <c r="B20" s="10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s="8" t="str">
        <f t="shared" si="1"/>
        <v>01</v>
      </c>
      <c r="I20" s="6" t="str">
        <f t="shared" si="2"/>
        <v>UK</v>
      </c>
      <c r="J20" s="6" t="str">
        <f t="shared" si="3"/>
        <v>MAR</v>
      </c>
    </row>
    <row r="21" spans="1:10" ht="15.75" customHeight="1" x14ac:dyDescent="0.2">
      <c r="A21" s="7" t="s">
        <v>78</v>
      </c>
      <c r="B21" s="11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18" t="str">
        <f t="shared" si="0"/>
        <v>Standard Price</v>
      </c>
      <c r="H21" s="19" t="str">
        <f t="shared" si="1"/>
        <v>14</v>
      </c>
      <c r="I21" s="18" t="str">
        <f t="shared" si="2"/>
        <v>US</v>
      </c>
      <c r="J21" s="18" t="str">
        <f t="shared" si="3"/>
        <v>AUG</v>
      </c>
    </row>
    <row r="22" spans="1:10" ht="15.75" customHeight="1" x14ac:dyDescent="0.2">
      <c r="A22" s="6" t="s">
        <v>81</v>
      </c>
      <c r="B22" s="10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s="8" t="str">
        <f t="shared" si="1"/>
        <v>14</v>
      </c>
      <c r="I22" s="6" t="str">
        <f t="shared" si="2"/>
        <v>RU</v>
      </c>
      <c r="J22" s="6" t="str">
        <f t="shared" si="3"/>
        <v>MAY</v>
      </c>
    </row>
    <row r="23" spans="1:10" ht="15.75" customHeight="1" x14ac:dyDescent="0.2">
      <c r="A23" s="7" t="s">
        <v>84</v>
      </c>
      <c r="B23" s="11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18" t="str">
        <f t="shared" si="0"/>
        <v>Standard Price</v>
      </c>
      <c r="H23" s="19" t="str">
        <f t="shared" si="1"/>
        <v>09</v>
      </c>
      <c r="I23" s="18" t="str">
        <f t="shared" si="2"/>
        <v>CA</v>
      </c>
      <c r="J23" s="18" t="str">
        <f t="shared" si="3"/>
        <v>JAN</v>
      </c>
    </row>
    <row r="24" spans="1:10" ht="15.75" customHeight="1" x14ac:dyDescent="0.2">
      <c r="A24" s="6" t="s">
        <v>87</v>
      </c>
      <c r="B24" s="10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s="8" t="str">
        <f t="shared" si="1"/>
        <v>19</v>
      </c>
      <c r="I24" s="6" t="str">
        <f t="shared" si="2"/>
        <v>BR</v>
      </c>
      <c r="J24" s="6" t="str">
        <f t="shared" si="3"/>
        <v>JUL</v>
      </c>
    </row>
    <row r="25" spans="1:10" ht="15.75" customHeight="1" x14ac:dyDescent="0.2">
      <c r="A25" s="7" t="s">
        <v>67</v>
      </c>
      <c r="B25" s="11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18" t="str">
        <f t="shared" si="0"/>
        <v>Standard Price</v>
      </c>
      <c r="H25" s="19" t="str">
        <f t="shared" si="1"/>
        <v>21</v>
      </c>
      <c r="I25" s="18" t="str">
        <f t="shared" si="2"/>
        <v>CA</v>
      </c>
      <c r="J25" s="18" t="str">
        <f t="shared" si="3"/>
        <v>AUG</v>
      </c>
    </row>
    <row r="26" spans="1:10" ht="15.75" customHeight="1" x14ac:dyDescent="0.2">
      <c r="A26" s="6" t="s">
        <v>90</v>
      </c>
      <c r="B26" s="10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s="8" t="str">
        <f t="shared" si="1"/>
        <v>29</v>
      </c>
      <c r="I26" s="6" t="str">
        <f t="shared" si="2"/>
        <v>CA</v>
      </c>
      <c r="J26" s="6" t="str">
        <f t="shared" si="3"/>
        <v>SEP</v>
      </c>
    </row>
    <row r="27" spans="1:10" ht="15.75" customHeight="1" x14ac:dyDescent="0.2">
      <c r="A27" s="7" t="s">
        <v>92</v>
      </c>
      <c r="B27" s="11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18" t="str">
        <f t="shared" si="0"/>
        <v>Standard Price</v>
      </c>
      <c r="H27" s="19" t="str">
        <f t="shared" si="1"/>
        <v>03</v>
      </c>
      <c r="I27" s="18" t="str">
        <f t="shared" si="2"/>
        <v>CA</v>
      </c>
      <c r="J27" s="18" t="str">
        <f t="shared" si="3"/>
        <v>JUN</v>
      </c>
    </row>
    <row r="28" spans="1:10" ht="15.75" customHeight="1" x14ac:dyDescent="0.2">
      <c r="A28" s="6" t="s">
        <v>94</v>
      </c>
      <c r="B28" s="10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s="8" t="str">
        <f t="shared" si="1"/>
        <v>11</v>
      </c>
      <c r="I28" s="6" t="str">
        <f t="shared" si="2"/>
        <v>CA</v>
      </c>
      <c r="J28" s="6" t="str">
        <f t="shared" si="3"/>
        <v>JUL</v>
      </c>
    </row>
    <row r="29" spans="1:10" ht="15.75" customHeight="1" x14ac:dyDescent="0.2">
      <c r="A29" s="7" t="s">
        <v>65</v>
      </c>
      <c r="B29" s="11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18" t="str">
        <f t="shared" si="0"/>
        <v>Standard Price</v>
      </c>
      <c r="H29" s="19" t="str">
        <f t="shared" si="1"/>
        <v>16</v>
      </c>
      <c r="I29" s="18" t="str">
        <f t="shared" si="2"/>
        <v>ES</v>
      </c>
      <c r="J29" s="18" t="str">
        <f t="shared" si="3"/>
        <v>APR</v>
      </c>
    </row>
    <row r="30" spans="1:10" ht="15.75" customHeight="1" x14ac:dyDescent="0.2">
      <c r="A30" s="6" t="s">
        <v>96</v>
      </c>
      <c r="B30" s="10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s="8" t="str">
        <f t="shared" si="1"/>
        <v>07</v>
      </c>
      <c r="I30" s="6" t="str">
        <f t="shared" si="2"/>
        <v>CA</v>
      </c>
      <c r="J30" s="6" t="str">
        <f t="shared" si="3"/>
        <v>MAR</v>
      </c>
    </row>
    <row r="31" spans="1:10" ht="15.75" customHeight="1" x14ac:dyDescent="0.2">
      <c r="A31" s="7" t="s">
        <v>99</v>
      </c>
      <c r="B31" s="11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18" t="str">
        <f t="shared" si="0"/>
        <v>Standard Price</v>
      </c>
      <c r="H31" s="19" t="str">
        <f t="shared" si="1"/>
        <v>13</v>
      </c>
      <c r="I31" s="18" t="str">
        <f t="shared" si="2"/>
        <v>CA</v>
      </c>
      <c r="J31" s="18" t="str">
        <f t="shared" si="3"/>
        <v>APR</v>
      </c>
    </row>
    <row r="32" spans="1:10" ht="15.75" customHeight="1" x14ac:dyDescent="0.2">
      <c r="A32" s="6" t="s">
        <v>102</v>
      </c>
      <c r="B32" s="10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s="8" t="str">
        <f t="shared" si="1"/>
        <v>24</v>
      </c>
      <c r="I32" s="6" t="str">
        <f t="shared" si="2"/>
        <v>CA</v>
      </c>
      <c r="J32" s="6" t="str">
        <f t="shared" si="3"/>
        <v>MAY</v>
      </c>
    </row>
    <row r="33" spans="1:10" ht="15.75" customHeight="1" x14ac:dyDescent="0.2">
      <c r="A33" s="7" t="s">
        <v>104</v>
      </c>
      <c r="B33" s="11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18" t="str">
        <f t="shared" si="0"/>
        <v>Standard Price</v>
      </c>
      <c r="H33" s="19" t="str">
        <f t="shared" si="1"/>
        <v>02</v>
      </c>
      <c r="I33" s="18" t="str">
        <f t="shared" si="2"/>
        <v>CA</v>
      </c>
      <c r="J33" s="18" t="str">
        <f t="shared" si="3"/>
        <v>DEC</v>
      </c>
    </row>
    <row r="34" spans="1:10" ht="15.75" customHeight="1" x14ac:dyDescent="0.2">
      <c r="A34" s="6" t="s">
        <v>57</v>
      </c>
      <c r="B34" s="10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s="8" t="str">
        <f t="shared" si="1"/>
        <v>17</v>
      </c>
      <c r="I34" s="6" t="str">
        <f t="shared" si="2"/>
        <v>IN</v>
      </c>
      <c r="J34" s="6" t="str">
        <f t="shared" si="3"/>
        <v>JUN</v>
      </c>
    </row>
    <row r="35" spans="1:10" ht="15.75" customHeight="1" x14ac:dyDescent="0.2">
      <c r="A35" s="7" t="s">
        <v>107</v>
      </c>
      <c r="B35" s="11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18" t="str">
        <f t="shared" si="0"/>
        <v>Standard Price</v>
      </c>
      <c r="H35" s="19" t="str">
        <f t="shared" si="1"/>
        <v>09</v>
      </c>
      <c r="I35" s="18" t="str">
        <f t="shared" si="2"/>
        <v>FR</v>
      </c>
      <c r="J35" s="18" t="str">
        <f t="shared" si="3"/>
        <v>JUL</v>
      </c>
    </row>
    <row r="36" spans="1:10" ht="15.75" customHeight="1" x14ac:dyDescent="0.2"/>
    <row r="37" spans="1:10" ht="15.75" customHeight="1" x14ac:dyDescent="0.2"/>
    <row r="38" spans="1:10" ht="15.75" customHeight="1" x14ac:dyDescent="0.2">
      <c r="B38"/>
    </row>
    <row r="39" spans="1:10" ht="15.75" customHeight="1" x14ac:dyDescent="0.2">
      <c r="A39" s="13" t="s">
        <v>121</v>
      </c>
      <c r="B39" s="13" t="s">
        <v>110</v>
      </c>
      <c r="C39" s="14" t="s">
        <v>111</v>
      </c>
      <c r="D39" s="13" t="s">
        <v>113</v>
      </c>
    </row>
    <row r="40" spans="1:10" ht="15.75" customHeight="1" x14ac:dyDescent="0.2">
      <c r="A40">
        <v>1</v>
      </c>
      <c r="B40" t="s">
        <v>112</v>
      </c>
      <c r="C40" s="14">
        <f>SUM(D2:D35)</f>
        <v>10100</v>
      </c>
      <c r="D40" t="s">
        <v>114</v>
      </c>
    </row>
    <row r="41" spans="1:10" ht="15.75" customHeight="1" x14ac:dyDescent="0.2">
      <c r="A41">
        <v>2</v>
      </c>
      <c r="B41" t="s">
        <v>142</v>
      </c>
      <c r="C41" s="14">
        <f>COUNTA(_xlfn.UNIQUE(A2:A35))</f>
        <v>31</v>
      </c>
      <c r="D41" t="s">
        <v>143</v>
      </c>
    </row>
    <row r="42" spans="1:10" ht="15.75" customHeight="1" x14ac:dyDescent="0.2">
      <c r="A42">
        <v>3</v>
      </c>
      <c r="B42" t="s">
        <v>119</v>
      </c>
      <c r="C42" s="14">
        <f>AVERAGE(D2:D35)</f>
        <v>297.05882352941177</v>
      </c>
      <c r="D42" t="s">
        <v>115</v>
      </c>
    </row>
    <row r="43" spans="1:10" ht="15.75" customHeight="1" x14ac:dyDescent="0.2">
      <c r="A43">
        <v>4</v>
      </c>
      <c r="B43" s="12" t="s">
        <v>116</v>
      </c>
      <c r="C43" s="14">
        <f>MIN(D2:D35)</f>
        <v>30</v>
      </c>
      <c r="D43" t="s">
        <v>117</v>
      </c>
    </row>
    <row r="44" spans="1:10" ht="15.75" customHeight="1" x14ac:dyDescent="0.2">
      <c r="A44">
        <v>5</v>
      </c>
      <c r="B44" s="12" t="s">
        <v>118</v>
      </c>
      <c r="C44" s="14">
        <f>MAX(D2:D35)</f>
        <v>1000</v>
      </c>
      <c r="D44" t="s">
        <v>120</v>
      </c>
    </row>
    <row r="45" spans="1:10" ht="15.75" customHeight="1" x14ac:dyDescent="0.2">
      <c r="A45">
        <v>6</v>
      </c>
      <c r="B45" s="12" t="s">
        <v>122</v>
      </c>
      <c r="C45" s="17" t="s">
        <v>132</v>
      </c>
      <c r="D45" s="17" t="s">
        <v>124</v>
      </c>
    </row>
    <row r="46" spans="1:10" ht="15.75" customHeight="1" x14ac:dyDescent="0.2">
      <c r="A46">
        <v>7</v>
      </c>
      <c r="B46" s="12" t="s">
        <v>125</v>
      </c>
      <c r="C46" s="14">
        <f>SUMIF(F2:F35,"Electronics",D2:D35)</f>
        <v>8050</v>
      </c>
      <c r="D46" s="17" t="s">
        <v>126</v>
      </c>
    </row>
    <row r="47" spans="1:10" ht="15.75" customHeight="1" x14ac:dyDescent="0.2">
      <c r="A47">
        <v>8</v>
      </c>
      <c r="B47" s="12" t="s">
        <v>127</v>
      </c>
      <c r="C47" s="14">
        <f>COUNTIF(D2:D35,"&lt;100")</f>
        <v>11</v>
      </c>
      <c r="D47" s="17" t="s">
        <v>128</v>
      </c>
    </row>
    <row r="48" spans="1:10" ht="15.75" customHeight="1" x14ac:dyDescent="0.2">
      <c r="A48">
        <v>9</v>
      </c>
      <c r="B48" s="12" t="s">
        <v>129</v>
      </c>
      <c r="C48" s="17" t="s">
        <v>131</v>
      </c>
      <c r="D48" s="17" t="s">
        <v>135</v>
      </c>
    </row>
    <row r="49" spans="1:4" ht="15.75" customHeight="1" x14ac:dyDescent="0.2">
      <c r="A49">
        <v>10</v>
      </c>
      <c r="B49" s="16" t="s">
        <v>133</v>
      </c>
      <c r="C49" s="17" t="s">
        <v>136</v>
      </c>
      <c r="D49" s="17" t="s">
        <v>137</v>
      </c>
    </row>
    <row r="50" spans="1:4" ht="15.75" customHeight="1" x14ac:dyDescent="0.2">
      <c r="A50">
        <v>11</v>
      </c>
      <c r="B50" s="16" t="s">
        <v>138</v>
      </c>
      <c r="C50" s="17" t="s">
        <v>140</v>
      </c>
      <c r="D50" s="17" t="s">
        <v>141</v>
      </c>
    </row>
    <row r="51" spans="1:4" ht="15.75" customHeight="1" x14ac:dyDescent="0.2"/>
    <row r="52" spans="1:4" ht="15.75" customHeight="1" x14ac:dyDescent="0.2"/>
    <row r="53" spans="1:4" ht="15.75" customHeight="1" x14ac:dyDescent="0.2"/>
    <row r="54" spans="1:4" ht="15.75" customHeight="1" x14ac:dyDescent="0.2"/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J35" xr:uid="{00000000-0001-0000-0100-000000000000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Aravind Sundaravadanam</cp:lastModifiedBy>
  <dcterms:modified xsi:type="dcterms:W3CDTF">2025-07-03T04:14:01Z</dcterms:modified>
</cp:coreProperties>
</file>